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a Ali Ansari\Downloads\Business Intelligence\Retail Assignment\"/>
    </mc:Choice>
  </mc:AlternateContent>
  <xr:revisionPtr revIDLastSave="0" documentId="13_ncr:1_{FD598861-91BA-4D66-ACAB-5AF62DF26CBB}" xr6:coauthVersionLast="47" xr6:coauthVersionMax="47" xr10:uidLastSave="{00000000-0000-0000-0000-000000000000}"/>
  <bookViews>
    <workbookView xWindow="-120" yWindow="-120" windowWidth="20730" windowHeight="11040" xr2:uid="{2A524157-B6F4-4818-A7D3-63089905E8C1}"/>
  </bookViews>
  <sheets>
    <sheet name="Yearly province analysis" sheetId="1" r:id="rId1"/>
    <sheet name="Top Selling products by categ" sheetId="2" r:id="rId2"/>
    <sheet name="Monthly Sales by Category" sheetId="3" r:id="rId3"/>
    <sheet name="Discounted sales in Karachi st" sheetId="4" r:id="rId4"/>
    <sheet name="Profit by Product" sheetId="7" r:id="rId5"/>
    <sheet name="Product-Store combinations" sheetId="5" r:id="rId6"/>
    <sheet name="Store Analysis" sheetId="8" r:id="rId7"/>
    <sheet name="Product Analysis" sheetId="9" r:id="rId8"/>
    <sheet name="Category Analysis" sheetId="12" r:id="rId9"/>
  </sheets>
  <definedNames>
    <definedName name="Slicer_Category">#N/A</definedName>
  </definedNames>
  <calcPr calcId="191029"/>
  <pivotCaches>
    <pivotCache cacheId="1" r:id="rId10"/>
    <pivotCache cacheId="5" r:id="rId11"/>
    <pivotCache cacheId="38" r:id="rId12"/>
    <pivotCache cacheId="73" r:id="rId13"/>
    <pivotCache cacheId="76" r:id="rId14"/>
    <pivotCache cacheId="79" r:id="rId15"/>
    <pivotCache cacheId="108" r:id="rId16"/>
    <pivotCache cacheId="114" r:id="rId17"/>
    <pivotCache cacheId="120" r:id="rId18"/>
    <pivotCache cacheId="137" r:id="rId19"/>
  </pivotCaches>
  <extLst>
    <ext xmlns:x14="http://schemas.microsoft.com/office/spreadsheetml/2009/9/main" uri="{876F7934-8845-4945-9796-88D515C7AA90}">
      <x14:pivotCaches>
        <pivotCache cacheId="6"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Store_5d2da7cf-d897-49fd-9694-b6121f10819a" name="DimStore" connection="DimStore"/>
          <x15:modelTable id="DimDate_d2a6a834-b1da-48b8-a1a6-8e65a4b5e0f2" name="DimDate" connection="Text DimDate"/>
          <x15:modelTable id="DimProduct_55395682-661a-42d5-a8bf-3a15f6a15c34" name="DimProduct" connection="Text DimProduct"/>
          <x15:modelTable id="DimDate_5Years_5d4ceaba-d4c5-4975-aa17-a15821e2cf6e" name="DimDate_5Years" connection="DimDate_5Years"/>
          <x15:modelTable id="FactSales_LevelUp_5Years_e071d425-b05a-46ec-a16c-806b31fbfe47" name="FactSales_LevelUp_5Years" connection="Text FactSales_LevelUp_5Years"/>
        </x15:modelTables>
        <x15:modelRelationships>
          <x15:modelRelationship fromTable="FactSales_LevelUp_5Years" fromColumn="StoreKey" toTable="DimStore" toColumn="StoreKey"/>
          <x15:modelRelationship fromTable="FactSales_LevelUp_5Years" fromColumn="DateKey" toTable="DimDate" toColumn="DateKey"/>
          <x15:modelRelationship fromTable="FactSales_LevelUp_5Years" fromColumn="ProductKey" toTable="DimProduct" toColumn="ProductKey"/>
          <x15:modelRelationship fromTable="FactSales_LevelUp_5Years" fromColumn="DateKey" toTable="DimDate_5Years" toColumn="DateKey"/>
        </x15:modelRelationships>
        <x15:extLst>
          <ext xmlns:x16="http://schemas.microsoft.com/office/spreadsheetml/2014/11/main" uri="{9835A34E-60A6-4A7C-AAB8-D5F71C897F49}">
            <x16:modelTimeGroupings>
              <x16:modelTimeGrouping tableName="DimDate_5Year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E4713-CEC4-438F-A892-734C1832C6F1}" name="DimDate_5Years" type="100" refreshedVersion="0">
    <extLst>
      <ext xmlns:x15="http://schemas.microsoft.com/office/spreadsheetml/2010/11/main" uri="{DE250136-89BD-433C-8126-D09CA5730AF9}">
        <x15:connection id="cbb4d853-fa5c-4fd2-b2ba-8b757f320ea7"/>
      </ext>
    </extLst>
  </connection>
  <connection id="2" xr16:uid="{C608C872-BDDA-49E4-9549-0B07E431056C}" name="DimStore" type="100" refreshedVersion="0">
    <extLst>
      <ext xmlns:x15="http://schemas.microsoft.com/office/spreadsheetml/2010/11/main" uri="{DE250136-89BD-433C-8126-D09CA5730AF9}">
        <x15:connection id="dcade539-fdb7-4fff-bda5-4d4acad14b0c"/>
      </ext>
    </extLst>
  </connection>
  <connection id="3" xr16:uid="{B09B28C7-D8AC-4F55-A063-181AEF98A7D9}" name="Text DimDate" type="100" refreshedVersion="0">
    <extLst>
      <ext xmlns:x15="http://schemas.microsoft.com/office/spreadsheetml/2010/11/main" uri="{DE250136-89BD-433C-8126-D09CA5730AF9}">
        <x15:connection id="2d88b1b7-7996-4017-aaf1-91b6e91cd2c3"/>
      </ext>
    </extLst>
  </connection>
  <connection id="4" xr16:uid="{09E9E5DE-056F-4FAF-B0A2-BCB4B01E5409}" name="Text DimProduct" type="100" refreshedVersion="0">
    <extLst>
      <ext xmlns:x15="http://schemas.microsoft.com/office/spreadsheetml/2010/11/main" uri="{DE250136-89BD-433C-8126-D09CA5730AF9}">
        <x15:connection id="550dfc4c-ad5d-4f80-bb2a-437b185b47b3"/>
      </ext>
    </extLst>
  </connection>
  <connection id="5" xr16:uid="{EC128D18-71F0-447F-B35E-EBDD3C8AB984}" name="Text FactSales_LevelUp_5Years" type="100" refreshedVersion="0">
    <extLst>
      <ext xmlns:x15="http://schemas.microsoft.com/office/spreadsheetml/2010/11/main" uri="{DE250136-89BD-433C-8126-D09CA5730AF9}">
        <x15:connection id="9caf2a63-d7b6-404f-96f6-a7c5e21ae5eb"/>
      </ext>
    </extLst>
  </connection>
  <connection id="6" xr16:uid="{0E8267C5-5F17-444E-AF68-A6C26DCB3A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DimDate_5Years].[Year].[All]}"/>
    <s v="{[DimDate].[Year].[All]}"/>
    <s v="{[DimStore].[City].&amp;[Karachi]}"/>
    <s v="{[FactSales_LevelUp_5Years].[DiscountPercent].&amp;[1.E1],[FactSales_LevelUp_5Years].[DiscountPercent].&amp;[1.5E1]}"/>
    <s v="{[DimStore].[StoreName].[All]}"/>
    <s v="{[DimStore].[City].[All]}"/>
    <s v="{[FactSales_LevelUp_5Years].[DiscountPercent].&amp;[0]}"/>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<sst xmlns="http://schemas.openxmlformats.org/spreadsheetml/2006/main" count="151" uniqueCount="54">
  <si>
    <t>Row Labels</t>
  </si>
  <si>
    <t>Balochistan</t>
  </si>
  <si>
    <t>Islamabad</t>
  </si>
  <si>
    <t>Khyber Pakhtunkhwa</t>
  </si>
  <si>
    <t>Punjab</t>
  </si>
  <si>
    <t>Sindh</t>
  </si>
  <si>
    <t>Grand Total</t>
  </si>
  <si>
    <t>Year</t>
  </si>
  <si>
    <t>All</t>
  </si>
  <si>
    <t>Basmati Rice</t>
  </si>
  <si>
    <t>Cooking Oil</t>
  </si>
  <si>
    <t>Detergent</t>
  </si>
  <si>
    <t>Milk Carton</t>
  </si>
  <si>
    <t>Tea Pack</t>
  </si>
  <si>
    <t>Household</t>
  </si>
  <si>
    <t>Total Profit</t>
  </si>
  <si>
    <t>Al-Fatah Store</t>
  </si>
  <si>
    <t>Chase Up</t>
  </si>
  <si>
    <t>Imtiaz Super Market</t>
  </si>
  <si>
    <t>Metro Store</t>
  </si>
  <si>
    <t>Utility Store</t>
  </si>
  <si>
    <t>May</t>
  </si>
  <si>
    <t>SalesAmount</t>
  </si>
  <si>
    <t>Month</t>
  </si>
  <si>
    <t>City</t>
  </si>
  <si>
    <t>DiscountPercent</t>
  </si>
  <si>
    <t>Karachi</t>
  </si>
  <si>
    <t>(Multiple Items)</t>
  </si>
  <si>
    <t>Profit Margin %</t>
  </si>
  <si>
    <t>Store</t>
  </si>
  <si>
    <t>Total Sales</t>
  </si>
  <si>
    <t>Apr</t>
  </si>
  <si>
    <t>Aug</t>
  </si>
  <si>
    <t>Dec</t>
  </si>
  <si>
    <t>Feb</t>
  </si>
  <si>
    <t>Jan</t>
  </si>
  <si>
    <t>Jul</t>
  </si>
  <si>
    <t>Jun</t>
  </si>
  <si>
    <t>Mar</t>
  </si>
  <si>
    <t>Nov</t>
  </si>
  <si>
    <t>Oct</t>
  </si>
  <si>
    <t>Sep</t>
  </si>
  <si>
    <t>Product</t>
  </si>
  <si>
    <t>StoreName</t>
  </si>
  <si>
    <t>Column Labels</t>
  </si>
  <si>
    <t>With discount &gt; 5</t>
  </si>
  <si>
    <t>With no discount</t>
  </si>
  <si>
    <t>0</t>
  </si>
  <si>
    <t>Province</t>
  </si>
  <si>
    <t>Beverages</t>
  </si>
  <si>
    <t>Dairy</t>
  </si>
  <si>
    <t>Grocery</t>
  </si>
  <si>
    <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</si>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</sst>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Alignment="1">
      <alignment horizontal="left" indent="2"/>
    </xf>
    <xf numFmtId="164" fontId="0" fillId="0" borderId="0" xfId="0" applyNumberFormat="1"/>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eetMetadata" Target="metadata.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[BI_Retail_Sales_28649.xlsx]Yearly province analysis!PivotTable1</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dLbl>
      </c:pivotFmt>
    </c:pivotFmts>
    <c:plotArea>
      <c:layout/>
      <c:lineChart>
        <c:grouping val="standard"/>
        <c:varyColors val="0"/>
        <c:ser>
          <c:idx val="0"/>
          <c:order val="0"/>
          <c:tx>
            <c:strRef>
              <c:f>'Yearly province analysis'!$C$3:$C$4</c:f>
              <c:strCache>
                <c:ptCount val="1"/>
                <c:pt idx="0">
                  <c:v>Balochistan</c:v>
                </c:pt>
              </c:strCache>
            </c:strRef>
          </c:tx>
          <c:spPr>
            <a:ln w="28575" cap="rnd">
              <a:solidFill>
                <a:schemeClr val="accent1"/>
              </a:solidFill>
              <a:round/>
            </a:ln>
            <a:effectLst/>
          </c:spPr>
          <c:marker>
            <c:symbol val="none"/>
          </c:marker>
          <c:cat>
            <c:strRef>
              <c:f>'Yearly province analysis'!$B$5:$B$10</c:f>
              <c:strCache>
                <c:ptCount val="5"/>
                <c:pt idx="0">
                  <c:v>2020</c:v>
                </c:pt>
                <c:pt idx="1">
                  <c:v>2021</c:v>
                </c:pt>
                <c:pt idx="2">
                  <c:v>2022</c:v>
                </c:pt>
                <c:pt idx="3">
                  <c:v>2023</c:v>
                </c:pt>
                <c:pt idx="4">
                  <c:v>2024</c:v>
                </c:pt>
              </c:strCache>
            </c:strRef>
          </c:cat>
          <c:val>
            <c:numRef>
              <c:f>'Yearly province analysis'!$C$5:$C$10</c:f>
              <c:numCache>
                <c:formatCode>0.00</c:formatCode>
                <c:ptCount val="5"/>
                <c:pt idx="0">
                  <c:v>63466.95</c:v>
                </c:pt>
                <c:pt idx="1">
                  <c:v>66329.100000000006</c:v>
                </c:pt>
                <c:pt idx="2">
                  <c:v>80107.55</c:v>
                </c:pt>
                <c:pt idx="3">
                  <c:v>60425.15</c:v>
                </c:pt>
                <c:pt idx="4">
                  <c:v>60159.15</c:v>
                </c:pt>
              </c:numCache>
            </c:numRef>
          </c:val>
          <c:smooth val="0"/>
          <c:extLst>
            <c:ext xmlns:c16="http://schemas.microsoft.com/office/drawing/2014/chart" uri="{C3380CC4-5D6E-409C-BE32-E72D297353CC}">
              <c16:uniqueId val="{00000000-C0DC-49B4-8021-FC921640560D}"/>
            </c:ext>
          </c:extLst>
        </c:ser>
        <c:ser>
          <c:idx val="1"/>
          <c:order val="1"/>
          <c:tx>
            <c:strRef>
              <c:f>'Yearly province analysis'!$D$3:$D$4</c:f>
              <c:strCache>
                <c:ptCount val="1"/>
                <c:pt idx="0">
                  <c:v>Islamabad</c:v>
                </c:pt>
              </c:strCache>
            </c:strRef>
          </c:tx>
          <c:spPr>
            <a:ln w="28575" cap="rnd">
              <a:solidFill>
                <a:schemeClr val="accent2"/>
              </a:solidFill>
              <a:round/>
            </a:ln>
            <a:effectLst/>
          </c:spPr>
          <c:marker>
            <c:symbol val="none"/>
          </c:marker>
          <c:cat>
            <c:strRef>
              <c:f>'Yearly province analysis'!$B$5:$B$10</c:f>
              <c:strCache>
                <c:ptCount val="5"/>
                <c:pt idx="0">
                  <c:v>2020</c:v>
                </c:pt>
                <c:pt idx="1">
                  <c:v>2021</c:v>
                </c:pt>
                <c:pt idx="2">
                  <c:v>2022</c:v>
                </c:pt>
                <c:pt idx="3">
                  <c:v>2023</c:v>
                </c:pt>
                <c:pt idx="4">
                  <c:v>2024</c:v>
                </c:pt>
              </c:strCache>
            </c:strRef>
          </c:cat>
          <c:val>
            <c:numRef>
              <c:f>'Yearly province analysis'!$D$5:$D$10</c:f>
              <c:numCache>
                <c:formatCode>0.00</c:formatCode>
                <c:ptCount val="5"/>
                <c:pt idx="0">
                  <c:v>61319.15</c:v>
                </c:pt>
                <c:pt idx="1">
                  <c:v>77935.100000000006</c:v>
                </c:pt>
                <c:pt idx="2">
                  <c:v>64083.45</c:v>
                </c:pt>
                <c:pt idx="3">
                  <c:v>66368.7</c:v>
                </c:pt>
                <c:pt idx="4">
                  <c:v>57547.25</c:v>
                </c:pt>
              </c:numCache>
            </c:numRef>
          </c:val>
          <c:smooth val="0"/>
          <c:extLst>
            <c:ext xmlns:c16="http://schemas.microsoft.com/office/drawing/2014/chart" uri="{C3380CC4-5D6E-409C-BE32-E72D297353CC}">
              <c16:uniqueId val="{00000006-C0DC-49B4-8021-FC921640560D}"/>
            </c:ext>
          </c:extLst>
        </c:ser>
        <c:ser>
          <c:idx val="2"/>
          <c:order val="2"/>
          <c:tx>
            <c:strRef>
              <c:f>'Yearly province analysis'!$E$3:$E$4</c:f>
              <c:strCache>
                <c:ptCount val="1"/>
                <c:pt idx="0">
                  <c:v>Khyber Pakhtunkhwa</c:v>
                </c:pt>
              </c:strCache>
            </c:strRef>
          </c:tx>
          <c:spPr>
            <a:ln w="28575" cap="rnd">
              <a:solidFill>
                <a:schemeClr val="accent3"/>
              </a:solidFill>
              <a:round/>
            </a:ln>
            <a:effectLst/>
          </c:spPr>
          <c:marker>
            <c:symbol val="none"/>
          </c:marker>
          <c:cat>
            <c:strRef>
              <c:f>'Yearly province analysis'!$B$5:$B$10</c:f>
              <c:strCache>
                <c:ptCount val="5"/>
                <c:pt idx="0">
                  <c:v>2020</c:v>
                </c:pt>
                <c:pt idx="1">
                  <c:v>2021</c:v>
                </c:pt>
                <c:pt idx="2">
                  <c:v>2022</c:v>
                </c:pt>
                <c:pt idx="3">
                  <c:v>2023</c:v>
                </c:pt>
                <c:pt idx="4">
                  <c:v>2024</c:v>
                </c:pt>
              </c:strCache>
            </c:strRef>
          </c:cat>
          <c:val>
            <c:numRef>
              <c:f>'Yearly province analysis'!$E$5:$E$10</c:f>
              <c:numCache>
                <c:formatCode>0.00</c:formatCode>
                <c:ptCount val="5"/>
                <c:pt idx="0">
                  <c:v>59336.3</c:v>
                </c:pt>
                <c:pt idx="1">
                  <c:v>74437.8</c:v>
                </c:pt>
                <c:pt idx="2">
                  <c:v>65208.6</c:v>
                </c:pt>
                <c:pt idx="3">
                  <c:v>71123.350000000006</c:v>
                </c:pt>
                <c:pt idx="4">
                  <c:v>61134.9</c:v>
                </c:pt>
              </c:numCache>
            </c:numRef>
          </c:val>
          <c:smooth val="0"/>
          <c:extLst>
            <c:ext xmlns:c16="http://schemas.microsoft.com/office/drawing/2014/chart" uri="{C3380CC4-5D6E-409C-BE32-E72D297353CC}">
              <c16:uniqueId val="{00000007-C0DC-49B4-8021-FC921640560D}"/>
            </c:ext>
          </c:extLst>
        </c:ser>
        <c:ser>
          <c:idx val="3"/>
          <c:order val="3"/>
          <c:tx>
            <c:strRef>
              <c:f>'Yearly province analysis'!$F$3:$F$4</c:f>
              <c:strCache>
                <c:ptCount val="1"/>
                <c:pt idx="0">
                  <c:v>Punjab</c:v>
                </c:pt>
              </c:strCache>
            </c:strRef>
          </c:tx>
          <c:spPr>
            <a:ln w="28575" cap="rnd">
              <a:solidFill>
                <a:schemeClr val="accent4"/>
              </a:solidFill>
              <a:round/>
            </a:ln>
            <a:effectLst/>
          </c:spPr>
          <c:marker>
            <c:symbol val="none"/>
          </c:marker>
          <c:cat>
            <c:strRef>
              <c:f>'Yearly province analysis'!$B$5:$B$10</c:f>
              <c:strCache>
                <c:ptCount val="5"/>
                <c:pt idx="0">
                  <c:v>2020</c:v>
                </c:pt>
                <c:pt idx="1">
                  <c:v>2021</c:v>
                </c:pt>
                <c:pt idx="2">
                  <c:v>2022</c:v>
                </c:pt>
                <c:pt idx="3">
                  <c:v>2023</c:v>
                </c:pt>
                <c:pt idx="4">
                  <c:v>2024</c:v>
                </c:pt>
              </c:strCache>
            </c:strRef>
          </c:cat>
          <c:val>
            <c:numRef>
              <c:f>'Yearly province analysis'!$F$5:$F$10</c:f>
              <c:numCache>
                <c:formatCode>0.00</c:formatCode>
                <c:ptCount val="5"/>
                <c:pt idx="0">
                  <c:v>64814.45</c:v>
                </c:pt>
                <c:pt idx="1">
                  <c:v>65027.45</c:v>
                </c:pt>
                <c:pt idx="2">
                  <c:v>68542.55</c:v>
                </c:pt>
                <c:pt idx="3">
                  <c:v>50900.1</c:v>
                </c:pt>
                <c:pt idx="4">
                  <c:v>54925.7</c:v>
                </c:pt>
              </c:numCache>
            </c:numRef>
          </c:val>
          <c:smooth val="0"/>
          <c:extLst>
            <c:ext xmlns:c16="http://schemas.microsoft.com/office/drawing/2014/chart" uri="{C3380CC4-5D6E-409C-BE32-E72D297353CC}">
              <c16:uniqueId val="{00000008-C0DC-49B4-8021-FC921640560D}"/>
            </c:ext>
          </c:extLst>
        </c:ser>
        <c:ser>
          <c:idx val="4"/>
          <c:order val="4"/>
          <c:tx>
            <c:strRef>
              <c:f>'Yearly province analysis'!$G$3:$G$4</c:f>
              <c:strCache>
                <c:ptCount val="1"/>
                <c:pt idx="0">
                  <c:v>Sindh</c:v>
                </c:pt>
              </c:strCache>
            </c:strRef>
          </c:tx>
          <c:spPr>
            <a:ln w="28575" cap="rnd">
              <a:solidFill>
                <a:schemeClr val="accent5"/>
              </a:solidFill>
              <a:round/>
            </a:ln>
            <a:effectLst/>
          </c:spPr>
          <c:marker>
            <c:symbol val="none"/>
          </c:marker>
          <c:cat>
            <c:strRef>
              <c:f>'Yearly province analysis'!$B$5:$B$10</c:f>
              <c:strCache>
                <c:ptCount val="5"/>
                <c:pt idx="0">
                  <c:v>2020</c:v>
                </c:pt>
                <c:pt idx="1">
                  <c:v>2021</c:v>
                </c:pt>
                <c:pt idx="2">
                  <c:v>2022</c:v>
                </c:pt>
                <c:pt idx="3">
                  <c:v>2023</c:v>
                </c:pt>
                <c:pt idx="4">
                  <c:v>2024</c:v>
                </c:pt>
              </c:strCache>
            </c:strRef>
          </c:cat>
          <c:val>
            <c:numRef>
              <c:f>'Yearly province analysis'!$G$5:$G$10</c:f>
              <c:numCache>
                <c:formatCode>0.00</c:formatCode>
                <c:ptCount val="5"/>
                <c:pt idx="0">
                  <c:v>78394.2</c:v>
                </c:pt>
                <c:pt idx="1">
                  <c:v>55183.15</c:v>
                </c:pt>
                <c:pt idx="2">
                  <c:v>56297.65</c:v>
                </c:pt>
                <c:pt idx="3">
                  <c:v>52545.599999999999</c:v>
                </c:pt>
                <c:pt idx="4">
                  <c:v>83516.7</c:v>
                </c:pt>
              </c:numCache>
            </c:numRef>
          </c:val>
          <c:smooth val="0"/>
          <c:extLst>
            <c:ext xmlns:c16="http://schemas.microsoft.com/office/drawing/2014/chart" uri="{C3380CC4-5D6E-409C-BE32-E72D297353CC}">
              <c16:uniqueId val="{00000009-C0DC-49B4-8021-FC921640560D}"/>
            </c:ext>
          </c:extLst>
        </c:ser>
        <c:dLbls>
          <c:showLegendKey val="0"/>
          <c:showVal val="0"/>
          <c:showCatName val="0"/>
          <c:showSerName val="0"/>
          <c:showPercent val="0"/>
          <c:showBubbleSize val="0"/>
        </c:dLbls>
        <c:smooth val="0"/>
        <c:axId val="1455030480"/>
        <c:axId val="1455046800"/>
      </c:lineChart>
      <c:catAx>
        <c:axId val="14550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55046800"/>
        <c:crosses val="autoZero"/>
        <c:auto val="1"/>
        <c:lblAlgn val="ctr"/>
        <c:lblOffset val="100"/>
        <c:noMultiLvlLbl val="0"/>
      </c:catAx>
      <c:valAx>
        <c:axId val="1455046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5503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[BI_Retail_Sales_28649.xlsx]Top Selling products by categ!PivotTable2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products by categ'!$C$3</c:f>
              <c:strCache>
                <c:ptCount val="1"/>
                <c:pt idx="0">
                  <c:v>Total</c:v>
                </c:pt>
              </c:strCache>
            </c:strRef>
          </c:tx>
          <c:spPr>
            <a:solidFill>
              <a:schemeClr val="accent1"/>
            </a:solidFill>
            <a:ln>
              <a:noFill/>
            </a:ln>
            <a:effectLst/>
          </c:spPr>
          <c:invertIfNegative val="0"/>
          <c:cat>
            <c:multiLvlStrRef>
              <c:f>'Top Selling products by categ'!$B$4:$B$19</c:f>
              <c:multiLvlStrCache>
                <c:ptCount val="5"/>
                <c:lvl>
                  <c:pt idx="0">
                    <c:v>Detergent</c:v>
                  </c:pt>
                  <c:pt idx="1">
                    <c:v>Detergent</c:v>
                  </c:pt>
                  <c:pt idx="2">
                    <c:v>Detergent</c:v>
                  </c:pt>
                  <c:pt idx="3">
                    <c:v>Detergent</c:v>
                  </c:pt>
                  <c:pt idx="4">
                    <c:v>Detergent</c:v>
                  </c:pt>
                </c:lvl>
                <c:lvl>
                  <c:pt idx="0">
                    <c:v>Household</c:v>
                  </c:pt>
                  <c:pt idx="1">
                    <c:v>Household</c:v>
                  </c:pt>
                  <c:pt idx="2">
                    <c:v>Household</c:v>
                  </c:pt>
                  <c:pt idx="3">
                    <c:v>Household</c:v>
                  </c:pt>
                  <c:pt idx="4">
                    <c:v>Household</c:v>
                  </c:pt>
                </c:lvl>
                <c:lvl>
                  <c:pt idx="0">
                    <c:v>Al-Fatah Store</c:v>
                  </c:pt>
                  <c:pt idx="1">
                    <c:v>Chase Up</c:v>
                  </c:pt>
                  <c:pt idx="2">
                    <c:v>Imtiaz Super Market</c:v>
                  </c:pt>
                  <c:pt idx="3">
                    <c:v>Metro Store</c:v>
                  </c:pt>
                  <c:pt idx="4">
                    <c:v>Utility Store</c:v>
                  </c:pt>
                </c:lvl>
              </c:multiLvlStrCache>
            </c:multiLvlStrRef>
          </c:cat>
          <c:val>
            <c:numRef>
              <c:f>'Top Selling products by categ'!$C$4:$C$19</c:f>
              <c:numCache>
                <c:formatCode>0.00</c:formatCode>
                <c:ptCount val="5"/>
                <c:pt idx="0">
                  <c:v>285050.25</c:v>
                </c:pt>
                <c:pt idx="1">
                  <c:v>238421.25</c:v>
                </c:pt>
                <c:pt idx="2">
                  <c:v>265513.25</c:v>
                </c:pt>
                <c:pt idx="3">
                  <c:v>257450.35</c:v>
                </c:pt>
                <c:pt idx="4">
                  <c:v>251364.55</c:v>
                </c:pt>
              </c:numCache>
            </c:numRef>
          </c:val>
          <c:extLst>
            <c:ext xmlns:c16="http://schemas.microsoft.com/office/drawing/2014/chart" uri="{C3380CC4-5D6E-409C-BE32-E72D297353CC}">
              <c16:uniqueId val="{00000000-41E5-4A40-AD02-A436EEAEB288}"/>
            </c:ext>
          </c:extLst>
        </c:ser>
        <c:dLbls>
          <c:showLegendKey val="0"/>
          <c:showVal val="0"/>
          <c:showCatName val="0"/>
          <c:showSerName val="0"/>
          <c:showPercent val="0"/>
          <c:showBubbleSize val="0"/>
        </c:dLbls>
        <c:gapWidth val="219"/>
        <c:overlap val="-27"/>
        <c:axId val="2006411935"/>
        <c:axId val="2006399935"/>
      </c:barChart>
      <c:catAx>
        <c:axId val="200641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2006399935"/>
        <c:crosses val="autoZero"/>
        <c:auto val="1"/>
        <c:lblAlgn val="ctr"/>
        <c:lblOffset val="100"/>
        <c:noMultiLvlLbl val="0"/>
      </c:catAx>
      <c:valAx>
        <c:axId val="2006399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200641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[BI_Retail_Sales_28649.xlsx]Monthly Sales by Category!PivotTable3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by Category'!$C$3</c:f>
              <c:strCache>
                <c:ptCount val="1"/>
                <c:pt idx="0">
                  <c:v>Total</c:v>
                </c:pt>
              </c:strCache>
            </c:strRef>
          </c:tx>
          <c:spPr>
            <a:ln w="28575" cap="rnd">
              <a:solidFill>
                <a:schemeClr val="accent1"/>
              </a:solidFill>
              <a:round/>
            </a:ln>
            <a:effectLst/>
          </c:spPr>
          <c:marker>
            <c:symbol val="none"/>
          </c:marker>
          <c:cat>
            <c:strRef>
              <c:f>'Monthly Sales by Category'!$B$4:$B$16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Category'!$C$4:$C$16</c:f>
              <c:numCache>
                <c:formatCode>General</c:formatCode>
                <c:ptCount val="12"/>
                <c:pt idx="0">
                  <c:v>118288.1</c:v>
                </c:pt>
                <c:pt idx="1">
                  <c:v>63244.7</c:v>
                </c:pt>
                <c:pt idx="2">
                  <c:v>145783.9</c:v>
                </c:pt>
                <c:pt idx="3">
                  <c:v>164772.1</c:v>
                </c:pt>
                <c:pt idx="4">
                  <c:v>127353.85</c:v>
                </c:pt>
                <c:pt idx="5">
                  <c:v>130332.35</c:v>
                </c:pt>
                <c:pt idx="6">
                  <c:v>68927.95</c:v>
                </c:pt>
                <c:pt idx="7">
                  <c:v>89062</c:v>
                </c:pt>
                <c:pt idx="8">
                  <c:v>127639.1</c:v>
                </c:pt>
                <c:pt idx="9">
                  <c:v>141124.15</c:v>
                </c:pt>
                <c:pt idx="10">
                  <c:v>123135.5</c:v>
                </c:pt>
                <c:pt idx="11">
                  <c:v>117802.05</c:v>
                </c:pt>
              </c:numCache>
            </c:numRef>
          </c:val>
          <c:smooth val="0"/>
          <c:extLst>
            <c:ext xmlns:c16="http://schemas.microsoft.com/office/drawing/2014/chart" uri="{C3380CC4-5D6E-409C-BE32-E72D297353CC}">
              <c16:uniqueId val="{00000000-0EDF-4171-8D61-CDB77982E50E}"/>
            </c:ext>
          </c:extLst>
        </c:ser>
        <c:dLbls>
          <c:showLegendKey val="0"/>
          <c:showVal val="0"/>
          <c:showCatName val="0"/>
          <c:showSerName val="0"/>
          <c:showPercent val="0"/>
          <c:showBubbleSize val="0"/>
        </c:dLbls>
        <c:smooth val="0"/>
        <c:axId val="792832751"/>
        <c:axId val="792831791"/>
      </c:lineChart>
      <c:catAx>
        <c:axId val="7928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92831791"/>
        <c:crosses val="autoZero"/>
        <c:auto val="1"/>
        <c:lblAlgn val="ctr"/>
        <c:lblOffset val="100"/>
        <c:noMultiLvlLbl val="0"/>
      </c:catAx>
      <c:valAx>
        <c:axId val="79283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928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[BI_Retail_Sales_28649.xlsx]Discounted sales in Karachi st!PivotTable4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'Discounted sales in Karachi st'!$C$4:$C$5</c:f>
              <c:strCache>
                <c:ptCount val="1"/>
                <c:pt idx="0">
                  <c:v>Metro Store</c:v>
                </c:pt>
              </c:strCache>
            </c:strRef>
          </c:tx>
          <c:spPr>
            <a:ln w="28575" cap="rnd">
              <a:solidFill>
                <a:schemeClr val="accent1"/>
              </a:solidFill>
              <a:round/>
            </a:ln>
            <a:effectLst/>
          </c:spPr>
          <c:marker>
            <c:symbol val="none"/>
          </c:marker>
          <c:cat>
            <c:strRef>
              <c:f>'Discounted sales in Karachi st'!$B$6:$B$11</c:f>
              <c:strCache>
                <c:ptCount val="5"/>
                <c:pt idx="0">
                  <c:v>Basmati Rice</c:v>
                </c:pt>
                <c:pt idx="1">
                  <c:v>Cooking Oil</c:v>
                </c:pt>
                <c:pt idx="2">
                  <c:v>Detergent</c:v>
                </c:pt>
                <c:pt idx="3">
                  <c:v>Milk Carton</c:v>
                </c:pt>
                <c:pt idx="4">
                  <c:v>Tea Pack</c:v>
                </c:pt>
              </c:strCache>
            </c:strRef>
          </c:cat>
          <c:val>
            <c:numRef>
              <c:f>'Discounted sales in Karachi st'!$C$6:$C$11</c:f>
              <c:numCache>
                <c:formatCode>0.00</c:formatCode>
                <c:ptCount val="5"/>
                <c:pt idx="0">
                  <c:v>26454.25</c:v>
                </c:pt>
                <c:pt idx="1">
                  <c:v>23282.9</c:v>
                </c:pt>
                <c:pt idx="2">
                  <c:v>31486.95</c:v>
                </c:pt>
                <c:pt idx="3">
                  <c:v>18003.150000000001</c:v>
                </c:pt>
                <c:pt idx="4">
                  <c:v>27763.55</c:v>
                </c:pt>
              </c:numCache>
            </c:numRef>
          </c:val>
          <c:smooth val="0"/>
          <c:extLst>
            <c:ext xmlns:c16="http://schemas.microsoft.com/office/drawing/2014/chart" uri="{C3380CC4-5D6E-409C-BE32-E72D297353CC}">
              <c16:uniqueId val="{00000000-9C86-4DB9-9F70-59CFD4A1ED19}"/>
            </c:ext>
          </c:extLst>
        </c:ser>
        <c:dLbls>
          <c:showLegendKey val="0"/>
          <c:showVal val="0"/>
          <c:showCatName val="0"/>
          <c:showSerName val="0"/>
          <c:showPercent val="0"/>
          <c:showBubbleSize val="0"/>
        </c:dLbls>
        <c:smooth val="0"/>
        <c:axId val="1455011280"/>
        <c:axId val="1454997840"/>
      </c:lineChart>
      <c:catAx>
        <c:axId val="145501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54997840"/>
        <c:crosses val="autoZero"/>
        <c:auto val="1"/>
        <c:lblAlgn val="ctr"/>
        <c:lblOffset val="100"/>
        <c:noMultiLvlLbl val="0"/>
      </c:catAx>
      <c:valAx>
        <c:axId val="1454997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145501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[BI_Retail_Sales_28649.xlsx]Discounted sales in Karachi st!PivotTable2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'Discounted sales in Karachi st'!$C$33:$C$34</c:f>
              <c:strCache>
                <c:ptCount val="1"/>
                <c:pt idx="0">
                  <c:v>Metro Store</c:v>
                </c:pt>
              </c:strCache>
            </c:strRef>
          </c:tx>
          <c:spPr>
            <a:ln w="28575" cap="rnd">
              <a:solidFill>
                <a:schemeClr val="accent1"/>
              </a:solidFill>
              <a:round/>
            </a:ln>
            <a:effectLst/>
          </c:spPr>
          <c:marker>
            <c:symbol val="none"/>
          </c:marker>
          <c:cat>
            <c:strRef>
              <c:f>'Discounted sales in Karachi st'!$B$35:$B$40</c:f>
              <c:strCache>
                <c:ptCount val="5"/>
                <c:pt idx="0">
                  <c:v>Basmati Rice</c:v>
                </c:pt>
                <c:pt idx="1">
                  <c:v>Cooking Oil</c:v>
                </c:pt>
                <c:pt idx="2">
                  <c:v>Detergent</c:v>
                </c:pt>
                <c:pt idx="3">
                  <c:v>Milk Carton</c:v>
                </c:pt>
                <c:pt idx="4">
                  <c:v>Tea Pack</c:v>
                </c:pt>
              </c:strCache>
            </c:strRef>
          </c:cat>
          <c:val>
            <c:numRef>
              <c:f>'Discounted sales in Karachi st'!$C$35:$C$40</c:f>
              <c:numCache>
                <c:formatCode>0.00</c:formatCode>
                <c:ptCount val="5"/>
                <c:pt idx="0">
                  <c:v>25998.3</c:v>
                </c:pt>
                <c:pt idx="1">
                  <c:v>29825.1</c:v>
                </c:pt>
                <c:pt idx="2">
                  <c:v>15477.6</c:v>
                </c:pt>
                <c:pt idx="3">
                  <c:v>21615.599999999999</c:v>
                </c:pt>
                <c:pt idx="4">
                  <c:v>23015.4</c:v>
                </c:pt>
              </c:numCache>
            </c:numRef>
          </c:val>
          <c:smooth val="0"/>
          <c:extLst>
            <c:ext xmlns:c16="http://schemas.microsoft.com/office/drawing/2014/chart" uri="{C3380CC4-5D6E-409C-BE32-E72D297353CC}">
              <c16:uniqueId val="{00000000-1CAF-49C8-8490-ED38E4D46671}"/>
            </c:ext>
          </c:extLst>
        </c:ser>
        <c:dLbls>
          <c:showLegendKey val="0"/>
          <c:showVal val="0"/>
          <c:showCatName val="0"/>
          <c:showSerName val="0"/>
          <c:showPercent val="0"/>
          <c:showBubbleSize val="0"/>
        </c:dLbls>
        <c:smooth val="0"/>
        <c:axId val="1455029040"/>
        <c:axId val="1455052080"/>
      </c:lineChart>
      <c:catAx>
        <c:axId val="14550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5052080"/>
        <c:crosses val="autoZero"/>
        <c:auto val="1"/>
        <c:lblAlgn val="ctr"/>
        <c:lblOffset val="100"/>
        <c:noMultiLvlLbl val="0"/>
      </c:catAx>
      <c:valAx>
        <c:axId val="1455052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502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[BI_Retail_Sales_28649.xlsx]Profit by Product!PivotTable6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Product'!$C$3</c:f>
              <c:strCache>
                <c:ptCount val="1"/>
                <c:pt idx="0">
                  <c:v>Total</c:v>
                </c:pt>
              </c:strCache>
            </c:strRef>
          </c:tx>
          <c:spPr>
            <a:solidFill>
              <a:schemeClr val="accent1"/>
            </a:solidFill>
            <a:ln>
              <a:noFill/>
            </a:ln>
            <a:effectLst/>
          </c:spPr>
          <c:invertIfNegative val="0"/>
          <c:cat>
            <c:strRef>
              <c:f>'Profit by Product'!$B$4:$B$9</c:f>
              <c:strCache>
                <c:ptCount val="5"/>
                <c:pt idx="0">
                  <c:v>Basmati Rice</c:v>
                </c:pt>
                <c:pt idx="1">
                  <c:v>Cooking Oil</c:v>
                </c:pt>
                <c:pt idx="2">
                  <c:v>Detergent</c:v>
                </c:pt>
                <c:pt idx="3">
                  <c:v>Milk Carton</c:v>
                </c:pt>
                <c:pt idx="4">
                  <c:v>Tea Pack</c:v>
                </c:pt>
              </c:strCache>
            </c:strRef>
          </c:cat>
          <c:val>
            <c:numRef>
              <c:f>'Profit by Product'!$C$4:$C$9</c:f>
              <c:numCache>
                <c:formatCode>0.00</c:formatCode>
                <c:ptCount val="5"/>
                <c:pt idx="0">
                  <c:v>65061.05</c:v>
                </c:pt>
                <c:pt idx="1">
                  <c:v>69830.75</c:v>
                </c:pt>
                <c:pt idx="2">
                  <c:v>59067.55</c:v>
                </c:pt>
                <c:pt idx="3">
                  <c:v>65754.75</c:v>
                </c:pt>
                <c:pt idx="4">
                  <c:v>66223.199999999997</c:v>
                </c:pt>
              </c:numCache>
            </c:numRef>
          </c:val>
          <c:extLst>
            <c:ext xmlns:c16="http://schemas.microsoft.com/office/drawing/2014/chart" uri="{C3380CC4-5D6E-409C-BE32-E72D297353CC}">
              <c16:uniqueId val="{00000000-6043-4F33-A1D1-12BE3D9A6FC9}"/>
            </c:ext>
          </c:extLst>
        </c:ser>
        <c:dLbls>
          <c:showLegendKey val="0"/>
          <c:showVal val="0"/>
          <c:showCatName val="0"/>
          <c:showSerName val="0"/>
          <c:showPercent val="0"/>
          <c:showBubbleSize val="0"/>
        </c:dLbls>
        <c:gapWidth val="219"/>
        <c:overlap val="-27"/>
        <c:axId val="715445295"/>
        <c:axId val="715448655"/>
      </c:barChart>
      <c:catAx>
        <c:axId val="7154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15448655"/>
        <c:crosses val="autoZero"/>
        <c:auto val="1"/>
        <c:lblAlgn val="ctr"/>
        <c:lblOffset val="100"/>
        <c:noMultiLvlLbl val="0"/>
      </c:catAx>
      <c:valAx>
        <c:axId val="715448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154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[BI_Retail_Sales_28649.xlsx]Product-Store combinations!PivotTable5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'Product-Store combinations'!$C$3:$C$4</c:f>
              <c:strCache>
                <c:ptCount val="1"/>
                <c:pt idx="0">
                  <c:v>Al-Fatah Store</c:v>
                </c:pt>
              </c:strCache>
            </c:strRef>
          </c:tx>
          <c:spPr>
            <a:solidFill>
              <a:schemeClr val="accent1"/>
            </a:solidFill>
            <a:ln>
              <a:noFill/>
            </a:ln>
            <a:effectLst/>
          </c:spPr>
          <c:invertIfNegative val="0"/>
          <c:cat>
            <c:strRef>
              <c:f>'Product-Store combinations'!$B$5:$B$10</c:f>
              <c:strCache>
                <c:ptCount val="5"/>
                <c:pt idx="0">
                  <c:v>Tea Pack</c:v>
                </c:pt>
                <c:pt idx="1">
                  <c:v>Basmati Rice</c:v>
                </c:pt>
                <c:pt idx="2">
                  <c:v>Milk Carton</c:v>
                </c:pt>
                <c:pt idx="3">
                  <c:v>Detergent</c:v>
                </c:pt>
                <c:pt idx="4">
                  <c:v>Cooking Oil</c:v>
                </c:pt>
              </c:strCache>
            </c:strRef>
          </c:cat>
          <c:val>
            <c:numRef>
              <c:f>'Product-Store combinations'!$C$5:$C$10</c:f>
              <c:numCache>
                <c:formatCode>0.00%;\-0.00%;0.00%</c:formatCode>
                <c:ptCount val="5"/>
                <c:pt idx="0">
                  <c:v>0.24820428840971603</c:v>
                </c:pt>
                <c:pt idx="1">
                  <c:v>0.24359182740157426</c:v>
                </c:pt>
                <c:pt idx="2">
                  <c:v>0.23981662968086326</c:v>
                </c:pt>
                <c:pt idx="3">
                  <c:v>0.23584280315488235</c:v>
                </c:pt>
                <c:pt idx="4">
                  <c:v>0.23277344867174227</c:v>
                </c:pt>
              </c:numCache>
            </c:numRef>
          </c:val>
          <c:extLst>
            <c:ext xmlns:c16="http://schemas.microsoft.com/office/drawing/2014/chart" uri="{C3380CC4-5D6E-409C-BE32-E72D297353CC}">
              <c16:uniqueId val="{00000000-A77D-4A83-8DD1-A4FCD717AB48}"/>
            </c:ext>
          </c:extLst>
        </c:ser>
        <c:ser>
          <c:idx val="1"/>
          <c:order val="1"/>
          <c:tx>
            <c:strRef>
              <c:f>'Product-Store combinations'!$D$3:$D$4</c:f>
              <c:strCache>
                <c:ptCount val="1"/>
                <c:pt idx="0">
                  <c:v>Chase Up</c:v>
                </c:pt>
              </c:strCache>
            </c:strRef>
          </c:tx>
          <c:spPr>
            <a:solidFill>
              <a:schemeClr val="accent2"/>
            </a:solidFill>
            <a:ln>
              <a:noFill/>
            </a:ln>
            <a:effectLst/>
          </c:spPr>
          <c:invertIfNegative val="0"/>
          <c:cat>
            <c:strRef>
              <c:f>'Product-Store combinations'!$B$5:$B$10</c:f>
              <c:strCache>
                <c:ptCount val="5"/>
                <c:pt idx="0">
                  <c:v>Tea Pack</c:v>
                </c:pt>
                <c:pt idx="1">
                  <c:v>Basmati Rice</c:v>
                </c:pt>
                <c:pt idx="2">
                  <c:v>Milk Carton</c:v>
                </c:pt>
                <c:pt idx="3">
                  <c:v>Detergent</c:v>
                </c:pt>
                <c:pt idx="4">
                  <c:v>Cooking Oil</c:v>
                </c:pt>
              </c:strCache>
            </c:strRef>
          </c:cat>
          <c:val>
            <c:numRef>
              <c:f>'Product-Store combinations'!$D$5:$D$10</c:f>
              <c:numCache>
                <c:formatCode>0.00%;\-0.00%;0.00%</c:formatCode>
                <c:ptCount val="5"/>
                <c:pt idx="0">
                  <c:v>0.2500120586697735</c:v>
                </c:pt>
                <c:pt idx="1">
                  <c:v>0.25214734796267985</c:v>
                </c:pt>
                <c:pt idx="2">
                  <c:v>0.2545319073520082</c:v>
                </c:pt>
                <c:pt idx="3">
                  <c:v>0.24048548524932237</c:v>
                </c:pt>
                <c:pt idx="4">
                  <c:v>0.23393870969484493</c:v>
                </c:pt>
              </c:numCache>
            </c:numRef>
          </c:val>
          <c:extLst>
            <c:ext xmlns:c16="http://schemas.microsoft.com/office/drawing/2014/chart" uri="{C3380CC4-5D6E-409C-BE32-E72D297353CC}">
              <c16:uniqueId val="{00000001-A77D-4A83-8DD1-A4FCD717AB48}"/>
            </c:ext>
          </c:extLst>
        </c:ser>
        <c:ser>
          <c:idx val="2"/>
          <c:order val="2"/>
          <c:tx>
            <c:strRef>
              <c:f>'Product-Store combinations'!$E$3:$E$4</c:f>
              <c:strCache>
                <c:ptCount val="1"/>
                <c:pt idx="0">
                  <c:v>Imtiaz Super Market</c:v>
                </c:pt>
              </c:strCache>
            </c:strRef>
          </c:tx>
          <c:spPr>
            <a:solidFill>
              <a:schemeClr val="accent3"/>
            </a:solidFill>
            <a:ln>
              <a:noFill/>
            </a:ln>
            <a:effectLst/>
          </c:spPr>
          <c:invertIfNegative val="0"/>
          <c:cat>
            <c:strRef>
              <c:f>'Product-Store combinations'!$B$5:$B$10</c:f>
              <c:strCache>
                <c:ptCount val="5"/>
                <c:pt idx="0">
                  <c:v>Tea Pack</c:v>
                </c:pt>
                <c:pt idx="1">
                  <c:v>Basmati Rice</c:v>
                </c:pt>
                <c:pt idx="2">
                  <c:v>Milk Carton</c:v>
                </c:pt>
                <c:pt idx="3">
                  <c:v>Detergent</c:v>
                </c:pt>
                <c:pt idx="4">
                  <c:v>Cooking Oil</c:v>
                </c:pt>
              </c:strCache>
            </c:strRef>
          </c:cat>
          <c:val>
            <c:numRef>
              <c:f>'Product-Store combinations'!$E$5:$E$10</c:f>
              <c:numCache>
                <c:formatCode>0.00%;\-0.00%;0.00%</c:formatCode>
                <c:ptCount val="5"/>
                <c:pt idx="0">
                  <c:v>0.23341905308418967</c:v>
                </c:pt>
                <c:pt idx="1">
                  <c:v>0.24113480107328589</c:v>
                </c:pt>
                <c:pt idx="2">
                  <c:v>0.24790841819360313</c:v>
                </c:pt>
                <c:pt idx="3">
                  <c:v>0.24085822458954498</c:v>
                </c:pt>
                <c:pt idx="4">
                  <c:v>0.24903883159430881</c:v>
                </c:pt>
              </c:numCache>
            </c:numRef>
          </c:val>
          <c:extLst>
            <c:ext xmlns:c16="http://schemas.microsoft.com/office/drawing/2014/chart" uri="{C3380CC4-5D6E-409C-BE32-E72D297353CC}">
              <c16:uniqueId val="{00000002-A77D-4A83-8DD1-A4FCD717AB48}"/>
            </c:ext>
          </c:extLst>
        </c:ser>
        <c:ser>
          <c:idx val="3"/>
          <c:order val="3"/>
          <c:tx>
            <c:strRef>
              <c:f>'Product-Store combinations'!$F$3:$F$4</c:f>
              <c:strCache>
                <c:ptCount val="1"/>
                <c:pt idx="0">
                  <c:v>Metro Store</c:v>
                </c:pt>
              </c:strCache>
            </c:strRef>
          </c:tx>
          <c:spPr>
            <a:solidFill>
              <a:schemeClr val="accent4"/>
            </a:solidFill>
            <a:ln>
              <a:noFill/>
            </a:ln>
            <a:effectLst/>
          </c:spPr>
          <c:invertIfNegative val="0"/>
          <c:cat>
            <c:strRef>
              <c:f>'Product-Store combinations'!$B$5:$B$10</c:f>
              <c:strCache>
                <c:ptCount val="5"/>
                <c:pt idx="0">
                  <c:v>Tea Pack</c:v>
                </c:pt>
                <c:pt idx="1">
                  <c:v>Basmati Rice</c:v>
                </c:pt>
                <c:pt idx="2">
                  <c:v>Milk Carton</c:v>
                </c:pt>
                <c:pt idx="3">
                  <c:v>Detergent</c:v>
                </c:pt>
                <c:pt idx="4">
                  <c:v>Cooking Oil</c:v>
                </c:pt>
              </c:strCache>
            </c:strRef>
          </c:cat>
          <c:val>
            <c:numRef>
              <c:f>'Product-Store combinations'!$F$5:$F$10</c:f>
              <c:numCache>
                <c:formatCode>0.00%;\-0.00%;0.00%</c:formatCode>
                <c:ptCount val="5"/>
                <c:pt idx="0">
                  <c:v>0.2471780439464461</c:v>
                </c:pt>
                <c:pt idx="1">
                  <c:v>0.24443773184531539</c:v>
                </c:pt>
                <c:pt idx="2">
                  <c:v>0.25050206320691482</c:v>
                </c:pt>
                <c:pt idx="3">
                  <c:v>0.22943278189367389</c:v>
                </c:pt>
                <c:pt idx="4">
                  <c:v>0.25179564278864558</c:v>
                </c:pt>
              </c:numCache>
            </c:numRef>
          </c:val>
          <c:extLst>
            <c:ext xmlns:c16="http://schemas.microsoft.com/office/drawing/2014/chart" uri="{C3380CC4-5D6E-409C-BE32-E72D297353CC}">
              <c16:uniqueId val="{00000003-A77D-4A83-8DD1-A4FCD717AB48}"/>
            </c:ext>
          </c:extLst>
        </c:ser>
        <c:ser>
          <c:idx val="4"/>
          <c:order val="4"/>
          <c:tx>
            <c:strRef>
              <c:f>'Product-Store combinations'!$G$3:$G$4</c:f>
              <c:strCache>
                <c:ptCount val="1"/>
                <c:pt idx="0">
                  <c:v>Utility Store</c:v>
                </c:pt>
              </c:strCache>
            </c:strRef>
          </c:tx>
          <c:spPr>
            <a:solidFill>
              <a:schemeClr val="accent5"/>
            </a:solidFill>
            <a:ln>
              <a:noFill/>
            </a:ln>
            <a:effectLst/>
          </c:spPr>
          <c:invertIfNegative val="0"/>
          <c:cat>
            <c:strRef>
              <c:f>'Product-Store combinations'!$B$5:$B$10</c:f>
              <c:strCache>
                <c:ptCount val="5"/>
                <c:pt idx="0">
                  <c:v>Tea Pack</c:v>
                </c:pt>
                <c:pt idx="1">
                  <c:v>Basmati Rice</c:v>
                </c:pt>
                <c:pt idx="2">
                  <c:v>Milk Carton</c:v>
                </c:pt>
                <c:pt idx="3">
                  <c:v>Detergent</c:v>
                </c:pt>
                <c:pt idx="4">
                  <c:v>Cooking Oil</c:v>
                </c:pt>
              </c:strCache>
            </c:strRef>
          </c:cat>
          <c:val>
            <c:numRef>
              <c:f>'Product-Store combinations'!$G$5:$G$10</c:f>
              <c:numCache>
                <c:formatCode>0.00%;\-0.00%;0.00%</c:formatCode>
                <c:ptCount val="5"/>
                <c:pt idx="0">
                  <c:v>0.24310796021907274</c:v>
                </c:pt>
                <c:pt idx="1">
                  <c:v>0.24836616636313855</c:v>
                </c:pt>
                <c:pt idx="2">
                  <c:v>0.24321502676068574</c:v>
                </c:pt>
                <c:pt idx="3">
                  <c:v>0.24492375714873083</c:v>
                </c:pt>
                <c:pt idx="4">
                  <c:v>0.23405342514207</c:v>
                </c:pt>
              </c:numCache>
            </c:numRef>
          </c:val>
          <c:extLst>
            <c:ext xmlns:c16="http://schemas.microsoft.com/office/drawing/2014/chart" uri="{C3380CC4-5D6E-409C-BE32-E72D297353CC}">
              <c16:uniqueId val="{00000004-A77D-4A83-8DD1-A4FCD717AB48}"/>
            </c:ext>
          </c:extLst>
        </c:ser>
        <c:dLbls>
          <c:showLegendKey val="0"/>
          <c:showVal val="0"/>
          <c:showCatName val="0"/>
          <c:showSerName val="0"/>
          <c:showPercent val="0"/>
          <c:showBubbleSize val="0"/>
        </c:dLbls>
        <c:gapWidth val="219"/>
        <c:overlap val="-27"/>
        <c:axId val="792825071"/>
        <c:axId val="792831311"/>
      </c:barChart>
      <c:catAx>
        <c:axId val="79282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92831311"/>
        <c:crosses val="autoZero"/>
        <c:auto val="1"/>
        <c:lblAlgn val="ctr"/>
        <c:lblOffset val="100"/>
        <c:noMultiLvlLbl val="0"/>
      </c:catAx>
      <c:valAx>
        <c:axId val="79283131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928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[BI_Retail_Sales_28649.xlsx]Store Analysis!PivotTable1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'Store Analysis'!$C$3:$C$4</c:f>
              <c:strCache>
                <c:ptCount val="1"/>
                <c:pt idx="0">
                  <c:v>Al-Fatah Store</c:v>
                </c:pt>
              </c:strCache>
            </c:strRef>
          </c:tx>
          <c:spPr>
            <a:ln w="28575" cap="rnd">
              <a:solidFill>
                <a:schemeClr val="accent1"/>
              </a:solidFill>
              <a:round/>
            </a:ln>
            <a:effectLst/>
          </c:spPr>
          <c:marker>
            <c:symbol val="none"/>
          </c:marker>
          <c:cat>
            <c:strRef>
              <c:f>'Store Analysis'!$B$5:$B$10</c:f>
              <c:strCache>
                <c:ptCount val="5"/>
                <c:pt idx="0">
                  <c:v>2020</c:v>
                </c:pt>
                <c:pt idx="1">
                  <c:v>2021</c:v>
                </c:pt>
                <c:pt idx="2">
                  <c:v>2022</c:v>
                </c:pt>
                <c:pt idx="3">
                  <c:v>2023</c:v>
                </c:pt>
                <c:pt idx="4">
                  <c:v>2024</c:v>
                </c:pt>
              </c:strCache>
            </c:strRef>
          </c:cat>
          <c:val>
            <c:numRef>
              <c:f>'Store Analysis'!$C$5:$C$10</c:f>
              <c:numCache>
                <c:formatCode>0.00</c:formatCode>
                <c:ptCount val="5"/>
                <c:pt idx="0">
                  <c:v>61319.15</c:v>
                </c:pt>
                <c:pt idx="1">
                  <c:v>77935.100000000006</c:v>
                </c:pt>
                <c:pt idx="2">
                  <c:v>64083.45</c:v>
                </c:pt>
                <c:pt idx="3">
                  <c:v>66368.7</c:v>
                </c:pt>
                <c:pt idx="4">
                  <c:v>57547.25</c:v>
                </c:pt>
              </c:numCache>
            </c:numRef>
          </c:val>
          <c:smooth val="0"/>
          <c:extLst>
            <c:ext xmlns:c16="http://schemas.microsoft.com/office/drawing/2014/chart" uri="{C3380CC4-5D6E-409C-BE32-E72D297353CC}">
              <c16:uniqueId val="{00000000-5FB1-42A6-8A9E-9F5B2AFC810F}"/>
            </c:ext>
          </c:extLst>
        </c:ser>
        <c:ser>
          <c:idx val="1"/>
          <c:order val="1"/>
          <c:tx>
            <c:strRef>
              <c:f>'Store Analysis'!$D$3:$D$4</c:f>
              <c:strCache>
                <c:ptCount val="1"/>
                <c:pt idx="0">
                  <c:v>Chase Up</c:v>
                </c:pt>
              </c:strCache>
            </c:strRef>
          </c:tx>
          <c:spPr>
            <a:ln w="28575" cap="rnd">
              <a:solidFill>
                <a:schemeClr val="accent2"/>
              </a:solidFill>
              <a:round/>
            </a:ln>
            <a:effectLst/>
          </c:spPr>
          <c:marker>
            <c:symbol val="none"/>
          </c:marker>
          <c:cat>
            <c:strRef>
              <c:f>'Store Analysis'!$B$5:$B$10</c:f>
              <c:strCache>
                <c:ptCount val="5"/>
                <c:pt idx="0">
                  <c:v>2020</c:v>
                </c:pt>
                <c:pt idx="1">
                  <c:v>2021</c:v>
                </c:pt>
                <c:pt idx="2">
                  <c:v>2022</c:v>
                </c:pt>
                <c:pt idx="3">
                  <c:v>2023</c:v>
                </c:pt>
                <c:pt idx="4">
                  <c:v>2024</c:v>
                </c:pt>
              </c:strCache>
            </c:strRef>
          </c:cat>
          <c:val>
            <c:numRef>
              <c:f>'Store Analysis'!$D$5:$D$10</c:f>
              <c:numCache>
                <c:formatCode>0.00</c:formatCode>
                <c:ptCount val="5"/>
                <c:pt idx="0">
                  <c:v>63466.95</c:v>
                </c:pt>
                <c:pt idx="1">
                  <c:v>66329.100000000006</c:v>
                </c:pt>
                <c:pt idx="2">
                  <c:v>80107.55</c:v>
                </c:pt>
                <c:pt idx="3">
                  <c:v>60425.15</c:v>
                </c:pt>
                <c:pt idx="4">
                  <c:v>60159.15</c:v>
                </c:pt>
              </c:numCache>
            </c:numRef>
          </c:val>
          <c:smooth val="0"/>
          <c:extLst>
            <c:ext xmlns:c16="http://schemas.microsoft.com/office/drawing/2014/chart" uri="{C3380CC4-5D6E-409C-BE32-E72D297353CC}">
              <c16:uniqueId val="{00000001-5FB1-42A6-8A9E-9F5B2AFC810F}"/>
            </c:ext>
          </c:extLst>
        </c:ser>
        <c:ser>
          <c:idx val="2"/>
          <c:order val="2"/>
          <c:tx>
            <c:strRef>
              <c:f>'Store Analysis'!$E$3:$E$4</c:f>
              <c:strCache>
                <c:ptCount val="1"/>
                <c:pt idx="0">
                  <c:v>Imtiaz Super Market</c:v>
                </c:pt>
              </c:strCache>
            </c:strRef>
          </c:tx>
          <c:spPr>
            <a:ln w="28575" cap="rnd">
              <a:solidFill>
                <a:schemeClr val="accent3"/>
              </a:solidFill>
              <a:round/>
            </a:ln>
            <a:effectLst/>
          </c:spPr>
          <c:marker>
            <c:symbol val="none"/>
          </c:marker>
          <c:cat>
            <c:strRef>
              <c:f>'Store Analysis'!$B$5:$B$10</c:f>
              <c:strCache>
                <c:ptCount val="5"/>
                <c:pt idx="0">
                  <c:v>2020</c:v>
                </c:pt>
                <c:pt idx="1">
                  <c:v>2021</c:v>
                </c:pt>
                <c:pt idx="2">
                  <c:v>2022</c:v>
                </c:pt>
                <c:pt idx="3">
                  <c:v>2023</c:v>
                </c:pt>
                <c:pt idx="4">
                  <c:v>2024</c:v>
                </c:pt>
              </c:strCache>
            </c:strRef>
          </c:cat>
          <c:val>
            <c:numRef>
              <c:f>'Store Analysis'!$E$5:$E$10</c:f>
              <c:numCache>
                <c:formatCode>0.00</c:formatCode>
                <c:ptCount val="5"/>
                <c:pt idx="0">
                  <c:v>64814.45</c:v>
                </c:pt>
                <c:pt idx="1">
                  <c:v>65027.45</c:v>
                </c:pt>
                <c:pt idx="2">
                  <c:v>68542.55</c:v>
                </c:pt>
                <c:pt idx="3">
                  <c:v>50900.1</c:v>
                </c:pt>
                <c:pt idx="4">
                  <c:v>54925.7</c:v>
                </c:pt>
              </c:numCache>
            </c:numRef>
          </c:val>
          <c:smooth val="0"/>
          <c:extLst>
            <c:ext xmlns:c16="http://schemas.microsoft.com/office/drawing/2014/chart" uri="{C3380CC4-5D6E-409C-BE32-E72D297353CC}">
              <c16:uniqueId val="{00000003-5FB1-42A6-8A9E-9F5B2AFC810F}"/>
            </c:ext>
          </c:extLst>
        </c:ser>
        <c:ser>
          <c:idx val="3"/>
          <c:order val="3"/>
          <c:tx>
            <c:strRef>
              <c:f>'Store Analysis'!$F$3:$F$4</c:f>
              <c:strCache>
                <c:ptCount val="1"/>
                <c:pt idx="0">
                  <c:v>Metro Store</c:v>
                </c:pt>
              </c:strCache>
            </c:strRef>
          </c:tx>
          <c:spPr>
            <a:ln w="28575" cap="rnd">
              <a:solidFill>
                <a:schemeClr val="accent4"/>
              </a:solidFill>
              <a:round/>
            </a:ln>
            <a:effectLst/>
          </c:spPr>
          <c:marker>
            <c:symbol val="none"/>
          </c:marker>
          <c:cat>
            <c:strRef>
              <c:f>'Store Analysis'!$B$5:$B$10</c:f>
              <c:strCache>
                <c:ptCount val="5"/>
                <c:pt idx="0">
                  <c:v>2020</c:v>
                </c:pt>
                <c:pt idx="1">
                  <c:v>2021</c:v>
                </c:pt>
                <c:pt idx="2">
                  <c:v>2022</c:v>
                </c:pt>
                <c:pt idx="3">
                  <c:v>2023</c:v>
                </c:pt>
                <c:pt idx="4">
                  <c:v>2024</c:v>
                </c:pt>
              </c:strCache>
            </c:strRef>
          </c:cat>
          <c:val>
            <c:numRef>
              <c:f>'Store Analysis'!$F$5:$F$10</c:f>
              <c:numCache>
                <c:formatCode>0.00</c:formatCode>
                <c:ptCount val="5"/>
                <c:pt idx="0">
                  <c:v>78394.2</c:v>
                </c:pt>
                <c:pt idx="1">
                  <c:v>55183.15</c:v>
                </c:pt>
                <c:pt idx="2">
                  <c:v>56297.65</c:v>
                </c:pt>
                <c:pt idx="3">
                  <c:v>52545.599999999999</c:v>
                </c:pt>
                <c:pt idx="4">
                  <c:v>83516.7</c:v>
                </c:pt>
              </c:numCache>
            </c:numRef>
          </c:val>
          <c:smooth val="0"/>
          <c:extLst>
            <c:ext xmlns:c16="http://schemas.microsoft.com/office/drawing/2014/chart" uri="{C3380CC4-5D6E-409C-BE32-E72D297353CC}">
              <c16:uniqueId val="{00000004-5FB1-42A6-8A9E-9F5B2AFC810F}"/>
            </c:ext>
          </c:extLst>
        </c:ser>
        <c:ser>
          <c:idx val="4"/>
          <c:order val="4"/>
          <c:tx>
            <c:strRef>
              <c:f>'Store Analysis'!$G$3:$G$4</c:f>
              <c:strCache>
                <c:ptCount val="1"/>
                <c:pt idx="0">
                  <c:v>Utility Store</c:v>
                </c:pt>
              </c:strCache>
            </c:strRef>
          </c:tx>
          <c:spPr>
            <a:ln w="28575" cap="rnd">
              <a:solidFill>
                <a:schemeClr val="accent5"/>
              </a:solidFill>
              <a:round/>
            </a:ln>
            <a:effectLst/>
          </c:spPr>
          <c:marker>
            <c:symbol val="none"/>
          </c:marker>
          <c:cat>
            <c:strRef>
              <c:f>'Store Analysis'!$B$5:$B$10</c:f>
              <c:strCache>
                <c:ptCount val="5"/>
                <c:pt idx="0">
                  <c:v>2020</c:v>
                </c:pt>
                <c:pt idx="1">
                  <c:v>2021</c:v>
                </c:pt>
                <c:pt idx="2">
                  <c:v>2022</c:v>
                </c:pt>
                <c:pt idx="3">
                  <c:v>2023</c:v>
                </c:pt>
                <c:pt idx="4">
                  <c:v>2024</c:v>
                </c:pt>
              </c:strCache>
            </c:strRef>
          </c:cat>
          <c:val>
            <c:numRef>
              <c:f>'Store Analysis'!$G$5:$G$10</c:f>
              <c:numCache>
                <c:formatCode>0.00</c:formatCode>
                <c:ptCount val="5"/>
                <c:pt idx="0">
                  <c:v>59336.3</c:v>
                </c:pt>
                <c:pt idx="1">
                  <c:v>74437.8</c:v>
                </c:pt>
                <c:pt idx="2">
                  <c:v>65208.6</c:v>
                </c:pt>
                <c:pt idx="3">
                  <c:v>71123.350000000006</c:v>
                </c:pt>
                <c:pt idx="4">
                  <c:v>61134.9</c:v>
                </c:pt>
              </c:numCache>
            </c:numRef>
          </c:val>
          <c:smooth val="0"/>
          <c:extLst>
            <c:ext xmlns:c16="http://schemas.microsoft.com/office/drawing/2014/chart" uri="{C3380CC4-5D6E-409C-BE32-E72D297353CC}">
              <c16:uniqueId val="{00000005-5FB1-42A6-8A9E-9F5B2AFC810F}"/>
            </c:ext>
          </c:extLst>
        </c:ser>
        <c:dLbls>
          <c:showLegendKey val="0"/>
          <c:showVal val="0"/>
          <c:showCatName val="0"/>
          <c:showSerName val="0"/>
          <c:showPercent val="0"/>
          <c:showBubbleSize val="0"/>
        </c:dLbls>
        <c:smooth val="0"/>
        <c:axId val="880256352"/>
        <c:axId val="880256832"/>
      </c:lineChart>
      <c:catAx>
        <c:axId val="8802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0256832"/>
        <c:crosses val="autoZero"/>
        <c:auto val="1"/>
        <c:lblAlgn val="ctr"/>
        <c:lblOffset val="100"/>
        <c:noMultiLvlLbl val="0"/>
      </c:catAx>
      <c:valAx>
        <c:axId val="880256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02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[BI_Retail_Sales_28649.xlsx]Product Analysis!PivotTable3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Analysis'!$C$4:$C$5</c:f>
              <c:strCache>
                <c:ptCount val="1"/>
                <c:pt idx="0">
                  <c:v>Basmati Rice</c:v>
                </c:pt>
              </c:strCache>
            </c:strRef>
          </c:tx>
          <c:spPr>
            <a:ln w="28575" cap="rnd">
              <a:solidFill>
                <a:schemeClr val="accent1"/>
              </a:solidFill>
              <a:round/>
            </a:ln>
            <a:effectLst/>
          </c:spPr>
          <c:marker>
            <c:symbol val="none"/>
          </c:marker>
          <c:cat>
            <c:strRef>
              <c:f>'Product Analysis'!$B$6:$B$11</c:f>
              <c:strCache>
                <c:ptCount val="5"/>
                <c:pt idx="0">
                  <c:v>2020</c:v>
                </c:pt>
                <c:pt idx="1">
                  <c:v>2021</c:v>
                </c:pt>
                <c:pt idx="2">
                  <c:v>2022</c:v>
                </c:pt>
                <c:pt idx="3">
                  <c:v>2023</c:v>
                </c:pt>
                <c:pt idx="4">
                  <c:v>2024</c:v>
                </c:pt>
              </c:strCache>
            </c:strRef>
          </c:cat>
          <c:val>
            <c:numRef>
              <c:f>'Product Analysis'!$C$6:$C$11</c:f>
              <c:numCache>
                <c:formatCode>0.00</c:formatCode>
                <c:ptCount val="5"/>
                <c:pt idx="0">
                  <c:v>65787.3</c:v>
                </c:pt>
                <c:pt idx="1">
                  <c:v>75401.95</c:v>
                </c:pt>
                <c:pt idx="2">
                  <c:v>75460.600000000006</c:v>
                </c:pt>
                <c:pt idx="3">
                  <c:v>62457.95</c:v>
                </c:pt>
                <c:pt idx="4">
                  <c:v>68073.3</c:v>
                </c:pt>
              </c:numCache>
            </c:numRef>
          </c:val>
          <c:smooth val="0"/>
          <c:extLst>
            <c:ext xmlns:c16="http://schemas.microsoft.com/office/drawing/2014/chart" uri="{C3380CC4-5D6E-409C-BE32-E72D297353CC}">
              <c16:uniqueId val="{00000000-1D25-4154-ACF3-5A84C177AA33}"/>
            </c:ext>
          </c:extLst>
        </c:ser>
        <c:ser>
          <c:idx val="1"/>
          <c:order val="1"/>
          <c:tx>
            <c:strRef>
              <c:f>'Product Analysis'!$D$4:$D$5</c:f>
              <c:strCache>
                <c:ptCount val="1"/>
                <c:pt idx="0">
                  <c:v>Cooking Oil</c:v>
                </c:pt>
              </c:strCache>
            </c:strRef>
          </c:tx>
          <c:spPr>
            <a:ln w="28575" cap="rnd">
              <a:solidFill>
                <a:schemeClr val="accent2"/>
              </a:solidFill>
              <a:round/>
            </a:ln>
            <a:effectLst/>
          </c:spPr>
          <c:marker>
            <c:symbol val="none"/>
          </c:marker>
          <c:cat>
            <c:strRef>
              <c:f>'Product Analysis'!$B$6:$B$11</c:f>
              <c:strCache>
                <c:ptCount val="5"/>
                <c:pt idx="0">
                  <c:v>2020</c:v>
                </c:pt>
                <c:pt idx="1">
                  <c:v>2021</c:v>
                </c:pt>
                <c:pt idx="2">
                  <c:v>2022</c:v>
                </c:pt>
                <c:pt idx="3">
                  <c:v>2023</c:v>
                </c:pt>
                <c:pt idx="4">
                  <c:v>2024</c:v>
                </c:pt>
              </c:strCache>
            </c:strRef>
          </c:cat>
          <c:val>
            <c:numRef>
              <c:f>'Product Analysis'!$D$6:$D$11</c:f>
              <c:numCache>
                <c:formatCode>0.00</c:formatCode>
                <c:ptCount val="5"/>
                <c:pt idx="0">
                  <c:v>65268.85</c:v>
                </c:pt>
                <c:pt idx="1">
                  <c:v>69339.25</c:v>
                </c:pt>
                <c:pt idx="2">
                  <c:v>65652.149999999994</c:v>
                </c:pt>
                <c:pt idx="3">
                  <c:v>49514.8</c:v>
                </c:pt>
                <c:pt idx="4">
                  <c:v>59823.55</c:v>
                </c:pt>
              </c:numCache>
            </c:numRef>
          </c:val>
          <c:smooth val="0"/>
          <c:extLst>
            <c:ext xmlns:c16="http://schemas.microsoft.com/office/drawing/2014/chart" uri="{C3380CC4-5D6E-409C-BE32-E72D297353CC}">
              <c16:uniqueId val="{00000001-1D25-4154-ACF3-5A84C177AA33}"/>
            </c:ext>
          </c:extLst>
        </c:ser>
        <c:ser>
          <c:idx val="2"/>
          <c:order val="2"/>
          <c:tx>
            <c:strRef>
              <c:f>'Product Analysis'!$E$4:$E$5</c:f>
              <c:strCache>
                <c:ptCount val="1"/>
                <c:pt idx="0">
                  <c:v>Detergent</c:v>
                </c:pt>
              </c:strCache>
            </c:strRef>
          </c:tx>
          <c:spPr>
            <a:ln w="28575" cap="rnd">
              <a:solidFill>
                <a:schemeClr val="accent3"/>
              </a:solidFill>
              <a:round/>
            </a:ln>
            <a:effectLst/>
          </c:spPr>
          <c:marker>
            <c:symbol val="none"/>
          </c:marker>
          <c:cat>
            <c:strRef>
              <c:f>'Product Analysis'!$B$6:$B$11</c:f>
              <c:strCache>
                <c:ptCount val="5"/>
                <c:pt idx="0">
                  <c:v>2020</c:v>
                </c:pt>
                <c:pt idx="1">
                  <c:v>2021</c:v>
                </c:pt>
                <c:pt idx="2">
                  <c:v>2022</c:v>
                </c:pt>
                <c:pt idx="3">
                  <c:v>2023</c:v>
                </c:pt>
                <c:pt idx="4">
                  <c:v>2024</c:v>
                </c:pt>
              </c:strCache>
            </c:strRef>
          </c:cat>
          <c:val>
            <c:numRef>
              <c:f>'Product Analysis'!$E$6:$E$11</c:f>
              <c:numCache>
                <c:formatCode>0.00</c:formatCode>
                <c:ptCount val="5"/>
                <c:pt idx="0">
                  <c:v>59936.45</c:v>
                </c:pt>
                <c:pt idx="1">
                  <c:v>62783</c:v>
                </c:pt>
                <c:pt idx="2">
                  <c:v>59776.65</c:v>
                </c:pt>
                <c:pt idx="3">
                  <c:v>61523.65</c:v>
                </c:pt>
                <c:pt idx="4">
                  <c:v>65127.9</c:v>
                </c:pt>
              </c:numCache>
            </c:numRef>
          </c:val>
          <c:smooth val="0"/>
          <c:extLst>
            <c:ext xmlns:c16="http://schemas.microsoft.com/office/drawing/2014/chart" uri="{C3380CC4-5D6E-409C-BE32-E72D297353CC}">
              <c16:uniqueId val="{00000002-1D25-4154-ACF3-5A84C177AA33}"/>
            </c:ext>
          </c:extLst>
        </c:ser>
        <c:ser>
          <c:idx val="3"/>
          <c:order val="3"/>
          <c:tx>
            <c:strRef>
              <c:f>'Product Analysis'!$F$4:$F$5</c:f>
              <c:strCache>
                <c:ptCount val="1"/>
                <c:pt idx="0">
                  <c:v>Milk Carton</c:v>
                </c:pt>
              </c:strCache>
            </c:strRef>
          </c:tx>
          <c:spPr>
            <a:ln w="28575" cap="rnd">
              <a:solidFill>
                <a:schemeClr val="accent4"/>
              </a:solidFill>
              <a:round/>
            </a:ln>
            <a:effectLst/>
          </c:spPr>
          <c:marker>
            <c:symbol val="none"/>
          </c:marker>
          <c:cat>
            <c:strRef>
              <c:f>'Product Analysis'!$B$6:$B$11</c:f>
              <c:strCache>
                <c:ptCount val="5"/>
                <c:pt idx="0">
                  <c:v>2020</c:v>
                </c:pt>
                <c:pt idx="1">
                  <c:v>2021</c:v>
                </c:pt>
                <c:pt idx="2">
                  <c:v>2022</c:v>
                </c:pt>
                <c:pt idx="3">
                  <c:v>2023</c:v>
                </c:pt>
                <c:pt idx="4">
                  <c:v>2024</c:v>
                </c:pt>
              </c:strCache>
            </c:strRef>
          </c:cat>
          <c:val>
            <c:numRef>
              <c:f>'Product Analysis'!$F$6:$F$11</c:f>
              <c:numCache>
                <c:formatCode>0.00</c:formatCode>
                <c:ptCount val="5"/>
                <c:pt idx="0">
                  <c:v>54763.55</c:v>
                </c:pt>
                <c:pt idx="1">
                  <c:v>57267.3</c:v>
                </c:pt>
                <c:pt idx="2">
                  <c:v>75513.3</c:v>
                </c:pt>
                <c:pt idx="3">
                  <c:v>63594.65</c:v>
                </c:pt>
                <c:pt idx="4">
                  <c:v>55931.35</c:v>
                </c:pt>
              </c:numCache>
            </c:numRef>
          </c:val>
          <c:smooth val="0"/>
          <c:extLst>
            <c:ext xmlns:c16="http://schemas.microsoft.com/office/drawing/2014/chart" uri="{C3380CC4-5D6E-409C-BE32-E72D297353CC}">
              <c16:uniqueId val="{00000003-1D25-4154-ACF3-5A84C177AA33}"/>
            </c:ext>
          </c:extLst>
        </c:ser>
        <c:ser>
          <c:idx val="4"/>
          <c:order val="4"/>
          <c:tx>
            <c:strRef>
              <c:f>'Product Analysis'!$G$4:$G$5</c:f>
              <c:strCache>
                <c:ptCount val="1"/>
                <c:pt idx="0">
                  <c:v>Tea Pack</c:v>
                </c:pt>
              </c:strCache>
            </c:strRef>
          </c:tx>
          <c:spPr>
            <a:ln w="28575" cap="rnd">
              <a:solidFill>
                <a:schemeClr val="accent5"/>
              </a:solidFill>
              <a:round/>
            </a:ln>
            <a:effectLst/>
          </c:spPr>
          <c:marker>
            <c:symbol val="none"/>
          </c:marker>
          <c:cat>
            <c:strRef>
              <c:f>'Product Analysis'!$B$6:$B$11</c:f>
              <c:strCache>
                <c:ptCount val="5"/>
                <c:pt idx="0">
                  <c:v>2020</c:v>
                </c:pt>
                <c:pt idx="1">
                  <c:v>2021</c:v>
                </c:pt>
                <c:pt idx="2">
                  <c:v>2022</c:v>
                </c:pt>
                <c:pt idx="3">
                  <c:v>2023</c:v>
                </c:pt>
                <c:pt idx="4">
                  <c:v>2024</c:v>
                </c:pt>
              </c:strCache>
            </c:strRef>
          </c:cat>
          <c:val>
            <c:numRef>
              <c:f>'Product Analysis'!$G$6:$G$11</c:f>
              <c:numCache>
                <c:formatCode>0.00</c:formatCode>
                <c:ptCount val="5"/>
                <c:pt idx="0">
                  <c:v>81574.899999999994</c:v>
                </c:pt>
                <c:pt idx="1">
                  <c:v>74121.100000000006</c:v>
                </c:pt>
                <c:pt idx="2">
                  <c:v>57837.1</c:v>
                </c:pt>
                <c:pt idx="3">
                  <c:v>64271.85</c:v>
                </c:pt>
                <c:pt idx="4">
                  <c:v>68327.600000000006</c:v>
                </c:pt>
              </c:numCache>
            </c:numRef>
          </c:val>
          <c:smooth val="0"/>
          <c:extLst>
            <c:ext xmlns:c16="http://schemas.microsoft.com/office/drawing/2014/chart" uri="{C3380CC4-5D6E-409C-BE32-E72D297353CC}">
              <c16:uniqueId val="{00000004-1D25-4154-ACF3-5A84C177AA33}"/>
            </c:ext>
          </c:extLst>
        </c:ser>
        <c:dLbls>
          <c:showLegendKey val="0"/>
          <c:showVal val="0"/>
          <c:showCatName val="0"/>
          <c:showSerName val="0"/>
          <c:showPercent val="0"/>
          <c:showBubbleSize val="0"/>
        </c:dLbls>
        <c:smooth val="0"/>
        <c:axId val="1455047760"/>
        <c:axId val="1455034320"/>
      </c:lineChart>
      <c:catAx>
        <c:axId val="14550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5034320"/>
        <c:crosses val="autoZero"/>
        <c:auto val="1"/>
        <c:lblAlgn val="ctr"/>
        <c:lblOffset val="100"/>
        <c:noMultiLvlLbl val="0"/>
      </c:catAx>
      <c:valAx>
        <c:axId val="1455034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504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[BI_Retail_Sales_28649.xlsx]Category Analysis!PivotTable4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Analysis'!$C$2:$C$3</c:f>
              <c:strCache>
                <c:ptCount val="1"/>
                <c:pt idx="0">
                  <c:v>Beverages</c:v>
                </c:pt>
              </c:strCache>
            </c:strRef>
          </c:tx>
          <c:spPr>
            <a:ln w="28575" cap="rnd">
              <a:solidFill>
                <a:schemeClr val="accent1"/>
              </a:solidFill>
              <a:round/>
            </a:ln>
            <a:effectLst/>
          </c:spPr>
          <c:marker>
            <c:symbol val="none"/>
          </c:marker>
          <c:cat>
            <c:strRef>
              <c:f>'Category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Analysis'!$C$4:$C$16</c:f>
              <c:numCache>
                <c:formatCode>0.00</c:formatCode>
                <c:ptCount val="12"/>
                <c:pt idx="0">
                  <c:v>27650</c:v>
                </c:pt>
                <c:pt idx="1">
                  <c:v>15546</c:v>
                </c:pt>
                <c:pt idx="2">
                  <c:v>35937.1</c:v>
                </c:pt>
                <c:pt idx="3">
                  <c:v>41864.699999999997</c:v>
                </c:pt>
                <c:pt idx="4">
                  <c:v>31820.65</c:v>
                </c:pt>
                <c:pt idx="5">
                  <c:v>31402.05</c:v>
                </c:pt>
                <c:pt idx="6">
                  <c:v>15352.75</c:v>
                </c:pt>
                <c:pt idx="7">
                  <c:v>22831.5</c:v>
                </c:pt>
                <c:pt idx="8">
                  <c:v>32477.599999999999</c:v>
                </c:pt>
                <c:pt idx="9">
                  <c:v>34290.15</c:v>
                </c:pt>
                <c:pt idx="10">
                  <c:v>28804.9</c:v>
                </c:pt>
                <c:pt idx="11">
                  <c:v>28155.15</c:v>
                </c:pt>
              </c:numCache>
            </c:numRef>
          </c:val>
          <c:smooth val="0"/>
          <c:extLst>
            <c:ext xmlns:c16="http://schemas.microsoft.com/office/drawing/2014/chart" uri="{C3380CC4-5D6E-409C-BE32-E72D297353CC}">
              <c16:uniqueId val="{00000000-C81E-4D81-98FF-BF92E67B1148}"/>
            </c:ext>
          </c:extLst>
        </c:ser>
        <c:ser>
          <c:idx val="1"/>
          <c:order val="1"/>
          <c:tx>
            <c:strRef>
              <c:f>'Category Analysis'!$D$2:$D$3</c:f>
              <c:strCache>
                <c:ptCount val="1"/>
                <c:pt idx="0">
                  <c:v>Dairy</c:v>
                </c:pt>
              </c:strCache>
            </c:strRef>
          </c:tx>
          <c:spPr>
            <a:ln w="28575" cap="rnd">
              <a:solidFill>
                <a:schemeClr val="accent2"/>
              </a:solidFill>
              <a:round/>
            </a:ln>
            <a:effectLst/>
          </c:spPr>
          <c:marker>
            <c:symbol val="none"/>
          </c:marker>
          <c:cat>
            <c:strRef>
              <c:f>'Category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Analysis'!$D$4:$D$16</c:f>
              <c:numCache>
                <c:formatCode>0.00</c:formatCode>
                <c:ptCount val="12"/>
                <c:pt idx="0">
                  <c:v>28742</c:v>
                </c:pt>
                <c:pt idx="1">
                  <c:v>15360.9</c:v>
                </c:pt>
                <c:pt idx="2">
                  <c:v>28938.1</c:v>
                </c:pt>
                <c:pt idx="3">
                  <c:v>25467.599999999999</c:v>
                </c:pt>
                <c:pt idx="4">
                  <c:v>19821</c:v>
                </c:pt>
                <c:pt idx="5">
                  <c:v>23207.1</c:v>
                </c:pt>
                <c:pt idx="6">
                  <c:v>26563.75</c:v>
                </c:pt>
                <c:pt idx="7">
                  <c:v>31109.4</c:v>
                </c:pt>
                <c:pt idx="8">
                  <c:v>14737.75</c:v>
                </c:pt>
                <c:pt idx="9">
                  <c:v>29161.15</c:v>
                </c:pt>
                <c:pt idx="10">
                  <c:v>28012.25</c:v>
                </c:pt>
                <c:pt idx="11">
                  <c:v>35949.15</c:v>
                </c:pt>
              </c:numCache>
            </c:numRef>
          </c:val>
          <c:smooth val="0"/>
          <c:extLst>
            <c:ext xmlns:c16="http://schemas.microsoft.com/office/drawing/2014/chart" uri="{C3380CC4-5D6E-409C-BE32-E72D297353CC}">
              <c16:uniqueId val="{00000001-C81E-4D81-98FF-BF92E67B1148}"/>
            </c:ext>
          </c:extLst>
        </c:ser>
        <c:ser>
          <c:idx val="2"/>
          <c:order val="2"/>
          <c:tx>
            <c:strRef>
              <c:f>'Category Analysis'!$E$2:$E$3</c:f>
              <c:strCache>
                <c:ptCount val="1"/>
                <c:pt idx="0">
                  <c:v>Grocery</c:v>
                </c:pt>
              </c:strCache>
            </c:strRef>
          </c:tx>
          <c:spPr>
            <a:ln w="28575" cap="rnd">
              <a:solidFill>
                <a:schemeClr val="accent3"/>
              </a:solidFill>
              <a:round/>
            </a:ln>
            <a:effectLst/>
          </c:spPr>
          <c:marker>
            <c:symbol val="none"/>
          </c:marker>
          <c:cat>
            <c:strRef>
              <c:f>'Category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Analysis'!$E$4:$E$16</c:f>
              <c:numCache>
                <c:formatCode>0.00</c:formatCode>
                <c:ptCount val="12"/>
                <c:pt idx="0">
                  <c:v>40260.35</c:v>
                </c:pt>
                <c:pt idx="1">
                  <c:v>48240.55</c:v>
                </c:pt>
                <c:pt idx="2">
                  <c:v>61142.8</c:v>
                </c:pt>
                <c:pt idx="3">
                  <c:v>50279.35</c:v>
                </c:pt>
                <c:pt idx="4">
                  <c:v>64501.5</c:v>
                </c:pt>
                <c:pt idx="5">
                  <c:v>44731.95</c:v>
                </c:pt>
                <c:pt idx="6">
                  <c:v>55911.05</c:v>
                </c:pt>
                <c:pt idx="7">
                  <c:v>53575.45</c:v>
                </c:pt>
                <c:pt idx="8">
                  <c:v>56104.15</c:v>
                </c:pt>
                <c:pt idx="9">
                  <c:v>64490.85</c:v>
                </c:pt>
                <c:pt idx="10">
                  <c:v>65452</c:v>
                </c:pt>
                <c:pt idx="11">
                  <c:v>52089.7</c:v>
                </c:pt>
              </c:numCache>
            </c:numRef>
          </c:val>
          <c:smooth val="0"/>
          <c:extLst>
            <c:ext xmlns:c16="http://schemas.microsoft.com/office/drawing/2014/chart" uri="{C3380CC4-5D6E-409C-BE32-E72D297353CC}">
              <c16:uniqueId val="{00000002-C81E-4D81-98FF-BF92E67B1148}"/>
            </c:ext>
          </c:extLst>
        </c:ser>
        <c:ser>
          <c:idx val="3"/>
          <c:order val="3"/>
          <c:tx>
            <c:strRef>
              <c:f>'Category Analysis'!$F$2:$F$3</c:f>
              <c:strCache>
                <c:ptCount val="1"/>
                <c:pt idx="0">
                  <c:v>Household</c:v>
                </c:pt>
              </c:strCache>
            </c:strRef>
          </c:tx>
          <c:spPr>
            <a:ln w="28575" cap="rnd">
              <a:solidFill>
                <a:schemeClr val="accent4"/>
              </a:solidFill>
              <a:round/>
            </a:ln>
            <a:effectLst/>
          </c:spPr>
          <c:marker>
            <c:symbol val="none"/>
          </c:marker>
          <c:cat>
            <c:strRef>
              <c:f>'Category 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Analysis'!$F$4:$F$16</c:f>
              <c:numCache>
                <c:formatCode>0.00</c:formatCode>
                <c:ptCount val="12"/>
                <c:pt idx="0">
                  <c:v>24175.45</c:v>
                </c:pt>
                <c:pt idx="1">
                  <c:v>31249.75</c:v>
                </c:pt>
                <c:pt idx="2">
                  <c:v>20958.400000000001</c:v>
                </c:pt>
                <c:pt idx="3">
                  <c:v>29204.45</c:v>
                </c:pt>
                <c:pt idx="4">
                  <c:v>31030.75</c:v>
                </c:pt>
                <c:pt idx="5">
                  <c:v>18652.599999999999</c:v>
                </c:pt>
                <c:pt idx="6">
                  <c:v>18417.45</c:v>
                </c:pt>
                <c:pt idx="7">
                  <c:v>20617</c:v>
                </c:pt>
                <c:pt idx="8">
                  <c:v>29638.75</c:v>
                </c:pt>
                <c:pt idx="9">
                  <c:v>27576.95</c:v>
                </c:pt>
                <c:pt idx="10">
                  <c:v>29966.1</c:v>
                </c:pt>
                <c:pt idx="11">
                  <c:v>27660</c:v>
                </c:pt>
              </c:numCache>
            </c:numRef>
          </c:val>
          <c:smooth val="0"/>
          <c:extLst>
            <c:ext xmlns:c16="http://schemas.microsoft.com/office/drawing/2014/chart" uri="{C3380CC4-5D6E-409C-BE32-E72D297353CC}">
              <c16:uniqueId val="{00000003-C81E-4D81-98FF-BF92E67B1148}"/>
            </c:ext>
          </c:extLst>
        </c:ser>
        <c:dLbls>
          <c:showLegendKey val="0"/>
          <c:showVal val="0"/>
          <c:showCatName val="0"/>
          <c:showSerName val="0"/>
          <c:showPercent val="0"/>
          <c:showBubbleSize val="0"/>
        </c:dLbls>
        <c:smooth val="0"/>
        <c:axId val="880203072"/>
        <c:axId val="880200192"/>
      </c:lineChart>
      <c:catAx>
        <c:axId val="88020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0200192"/>
        <c:crosses val="autoZero"/>
        <c:auto val="1"/>
        <c:lblAlgn val="ctr"/>
        <c:lblOffset val="100"/>
        <c:noMultiLvlLbl val="0"/>
      </c:catAx>
      <c:valAx>
        <c:axId val="880200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02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95250</xdr:colOff>
      <xdr:row>11</xdr:row>
      <xdr:rowOff>33337</xdr:rowOff>
    </xdr:from>
    <xdr:to>
      <xdr:col>7</xdr:col>
      <xdr:colOff>495300</xdr:colOff>
      <xdr:row>29</xdr:row>
      <xdr:rowOff>47625</xdr:rowOff>
    </xdr:to>
    <xdr:graphicFrame macro="">
      <xdr:nvGraphicFramePr>
        <xdr:cNvPr id="2" name="Chart 1">
          <a:extLst>
            <a:ext uri="{FF2B5EF4-FFF2-40B4-BE49-F238E27FC236}">
              <a16:creationId xmlns:a16="http://schemas.microsoft.com/office/drawing/2014/main" id="{A215C20C-9D61-4DB8-7FC7-ACE3FC784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295274</xdr:colOff>
      <xdr:row>0</xdr:row>
      <xdr:rowOff>147636</xdr:rowOff>
    </xdr:from>
    <xdr:to>
      <xdr:col>11</xdr:col>
      <xdr:colOff>537882</xdr:colOff>
      <xdr:row>20</xdr:row>
      <xdr:rowOff>156882</xdr:rowOff>
    </xdr:to>
    <xdr:graphicFrame macro="">
      <xdr:nvGraphicFramePr>
        <xdr:cNvPr id="3" name="Chart 2">
          <a:extLst>
            <a:ext uri="{FF2B5EF4-FFF2-40B4-BE49-F238E27FC236}">
              <a16:creationId xmlns:a16="http://schemas.microsoft.com/office/drawing/2014/main" id="{BB9FAA91-8653-16D1-6F78-EF8E285CC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247650</xdr:colOff>
      <xdr:row>2</xdr:row>
      <xdr:rowOff>19050</xdr:rowOff>
    </xdr:from>
    <xdr:to>
      <xdr:col>6</xdr:col>
      <xdr:colOff>180975</xdr:colOff>
      <xdr:row>16</xdr:row>
      <xdr:rowOff>19050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FD1DC39-E8BB-B4D5-7498-4521E255BB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6975" y="40005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161925</xdr:colOff>
      <xdr:row>0</xdr:row>
      <xdr:rowOff>176212</xdr:rowOff>
    </xdr:from>
    <xdr:to>
      <xdr:col>14</xdr:col>
      <xdr:colOff>304800</xdr:colOff>
      <xdr:row>15</xdr:row>
      <xdr:rowOff>61912</xdr:rowOff>
    </xdr:to>
    <xdr:graphicFrame macro="">
      <xdr:nvGraphicFramePr>
        <xdr:cNvPr id="5" name="Chart 4">
          <a:extLst>
            <a:ext uri="{FF2B5EF4-FFF2-40B4-BE49-F238E27FC236}">
              <a16:creationId xmlns:a16="http://schemas.microsoft.com/office/drawing/2014/main" id="{0129F59B-0E61-D335-6488-E4A30B83E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180975</xdr:colOff>
      <xdr:row>12</xdr:row>
      <xdr:rowOff>152400</xdr:rowOff>
    </xdr:from>
    <xdr:to>
      <xdr:col>5</xdr:col>
      <xdr:colOff>790575</xdr:colOff>
      <xdr:row>25</xdr:row>
      <xdr:rowOff>138112</xdr:rowOff>
    </xdr:to>
    <xdr:graphicFrame macro="">
      <xdr:nvGraphicFramePr>
        <xdr:cNvPr id="3" name="Chart 2">
          <a:extLst>
            <a:ext uri="{FF2B5EF4-FFF2-40B4-BE49-F238E27FC236}">
              <a16:creationId xmlns:a16="http://schemas.microsoft.com/office/drawing/2014/main" id="{4234B794-15F2-F145-651A-762207DC5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40</xdr:row>
      <xdr:rowOff>166687</xdr:rowOff>
    </xdr:from>
    <xdr:to>
      <xdr:col>5</xdr:col>
      <xdr:colOff>600075</xdr:colOff>
      <xdr:row>55</xdr:row>
      <xdr:rowOff>52387</xdr:rowOff>
    </xdr:to>
    <xdr:graphicFrame macro="">
      <xdr:nvGraphicFramePr>
        <xdr:cNvPr id="4" name="Chart 3">
          <a:extLst>
            <a:ext uri="{FF2B5EF4-FFF2-40B4-BE49-F238E27FC236}">
              <a16:creationId xmlns:a16="http://schemas.microsoft.com/office/drawing/2014/main" id="{2EA660B8-B79C-10AE-A139-E1407FA79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428625</xdr:colOff>
      <xdr:row>1</xdr:row>
      <xdr:rowOff>157162</xdr:rowOff>
    </xdr:from>
    <xdr:to>
      <xdr:col>11</xdr:col>
      <xdr:colOff>123825</xdr:colOff>
      <xdr:row>16</xdr:row>
      <xdr:rowOff>42862</xdr:rowOff>
    </xdr:to>
    <xdr:graphicFrame macro="">
      <xdr:nvGraphicFramePr>
        <xdr:cNvPr id="2" name="Chart 1">
          <a:extLst>
            <a:ext uri="{FF2B5EF4-FFF2-40B4-BE49-F238E27FC236}">
              <a16:creationId xmlns:a16="http://schemas.microsoft.com/office/drawing/2014/main" id="{4982910E-2EDD-664F-190C-5AF631B2C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10</xdr:row>
      <xdr:rowOff>42862</xdr:rowOff>
    </xdr:from>
    <xdr:to>
      <xdr:col>5</xdr:col>
      <xdr:colOff>590550</xdr:colOff>
      <xdr:row>24</xdr:row>
      <xdr:rowOff>119062</xdr:rowOff>
    </xdr:to>
    <xdr:graphicFrame macro="">
      <xdr:nvGraphicFramePr>
        <xdr:cNvPr id="2" name="Chart 1">
          <a:extLst>
            <a:ext uri="{FF2B5EF4-FFF2-40B4-BE49-F238E27FC236}">
              <a16:creationId xmlns:a16="http://schemas.microsoft.com/office/drawing/2014/main" id="{80BA6CED-DB5D-709F-A6DE-E6706DAF7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533400</xdr:colOff>
      <xdr:row>10</xdr:row>
      <xdr:rowOff>119062</xdr:rowOff>
    </xdr:from>
    <xdr:to>
      <xdr:col>8</xdr:col>
      <xdr:colOff>171450</xdr:colOff>
      <xdr:row>25</xdr:row>
      <xdr:rowOff>4762</xdr:rowOff>
    </xdr:to>
    <xdr:graphicFrame macro="">
      <xdr:nvGraphicFramePr>
        <xdr:cNvPr id="2" name="Chart 1">
          <a:extLst>
            <a:ext uri="{FF2B5EF4-FFF2-40B4-BE49-F238E27FC236}">
              <a16:creationId xmlns:a16="http://schemas.microsoft.com/office/drawing/2014/main" id="{D911B39C-700D-194C-CAF2-46A7A370B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38099</xdr:colOff>
      <xdr:row>11</xdr:row>
      <xdr:rowOff>38100</xdr:rowOff>
    </xdr:from>
    <xdr:to>
      <xdr:col>7</xdr:col>
      <xdr:colOff>676274</xdr:colOff>
      <xdr:row>31</xdr:row>
      <xdr:rowOff>9525</xdr:rowOff>
    </xdr:to>
    <xdr:graphicFrame macro="">
      <xdr:nvGraphicFramePr>
        <xdr:cNvPr id="2" name="Chart 1">
          <a:extLst>
            <a:ext uri="{FF2B5EF4-FFF2-40B4-BE49-F238E27FC236}">
              <a16:creationId xmlns:a16="http://schemas.microsoft.com/office/drawing/2014/main" id="{52B5D95B-156D-6E8A-6FD4-F51F1CAEF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95250</xdr:colOff>
      <xdr:row>16</xdr:row>
      <xdr:rowOff>185737</xdr:rowOff>
    </xdr:from>
    <xdr:to>
      <xdr:col>7</xdr:col>
      <xdr:colOff>38100</xdr:colOff>
      <xdr:row>31</xdr:row>
      <xdr:rowOff>71437</xdr:rowOff>
    </xdr:to>
    <xdr:graphicFrame macro="">
      <xdr:nvGraphicFramePr>
        <xdr:cNvPr id="2" name="Chart 1">
          <a:extLst>
            <a:ext uri="{FF2B5EF4-FFF2-40B4-BE49-F238E27FC236}">
              <a16:creationId xmlns:a16="http://schemas.microsoft.com/office/drawing/2014/main" id="{02C5B3EB-8C17-B584-A7F9-A61701394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632553819443" backgroundQuery="1" createdVersion="8" refreshedVersion="8" minRefreshableVersion="3" recordCount="0" supportSubquery="1" supportAdvancedDrill="1" xr:uid="{5A3CDDDE-39FD-4E73-8DD8-FD2DEC2B682C}">
  <cacheSource type="external" connectionId="6"/>
  <cacheFields count="4">
    <cacheField name="[DimProduct].[ProductName].[ProductName]" caption="ProductName" numFmtId="0" hierarchy="18" level="1">
      <sharedItems count="5">
        <s v="Basmati Rice"/>
        <s v="Cooking Oil"/>
        <s v="Detergent"/>
        <s v="Milk Carton"/>
        <s v="Tea Pack"/>
      </sharedItems>
    </cacheField>
    <cacheField name="[DimStore].[StoreName].[StoreName]" caption="StoreName" numFmtId="0" hierarchy="22" level="1">
      <sharedItems count="5">
        <s v="Al-Fatah Store"/>
        <s v="Chase Up"/>
        <s v="Imtiaz Super Market"/>
        <s v="Metro Store"/>
        <s v="Utility Store"/>
      </sharedItems>
    </cacheField>
    <cacheField name="[Measures].[Profit Margin %]" caption="Profit Margin %" numFmtId="0" hierarchy="42" level="32767"/>
    <cacheField name="[DimDate].[Year].[Year]" caption="Year" numFmtId="0" hierarchy="6" level="1">
      <sharedItems containsSemiMixedTypes="0" containsNonDate="0" containsString="0"/>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3" unbalanced="0">
      <fieldsUsage count="2">
        <fieldUsage x="-1"/>
        <fieldUsage x="3"/>
      </fieldsUsage>
    </cacheHierarchy>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1"/>
      </fieldsUsage>
    </cacheHierarchy>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cacheHierarchy uniqueName="[Measures].[Average Discount]" caption="Average Discount" measure="1" displayFolder="" measureGroup="FactSales_LevelUp_5Years" count="0"/>
    <cacheHierarchy uniqueName="[Measures].[Profit Margin %]" caption="Profit Margin %" measure="1" displayFolder="" measureGroup="FactSales_LevelUp_5Years" count="0" oneField="1">
      <fieldsUsage count="1">
        <fieldUsage x="2"/>
      </fieldsUsage>
    </cacheHierarchy>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834428125003" backgroundQuery="1" createdVersion="8" refreshedVersion="8" minRefreshableVersion="3" recordCount="0" supportSubquery="1" supportAdvancedDrill="1" xr:uid="{AB6B5AFB-151B-4B8F-9F70-1D15A8F6783C}">
  <cacheSource type="external" connectionId="6"/>
  <cacheFields count="3">
    <cacheField name="[DimProduct].[ProductName].[ProductName]" caption="ProductName" numFmtId="0" hierarchy="18" level="1">
      <sharedItems count="5">
        <s v="Basmati Rice"/>
        <s v="Cooking Oil"/>
        <s v="Detergent"/>
        <s v="Milk Carton"/>
        <s v="Tea Pack"/>
      </sharedItems>
    </cacheField>
    <cacheField name="[Measures].[Total Profit]" caption="Total Profit" numFmtId="0" hierarchy="40" level="32767"/>
    <cacheField name="[DimStore].[City].[City]" caption="City" numFmtId="0" hierarchy="23" level="1">
      <sharedItems containsSemiMixedTypes="0" containsNonDate="0" containsString="0"/>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0" memberValueDatatype="130" unbalanced="0"/>
    <cacheHierarchy uniqueName="[DimStore].[City]" caption="City" attribute="1" defaultMemberUniqueName="[DimStore].[City].[All]" allUniqueName="[DimStore].[City].[All]" dimensionUniqueName="[DimStore]" displayFolder="" count="2" memberValueDatatype="130" unbalanced="0">
      <fieldsUsage count="2">
        <fieldUsage x="-1"/>
        <fieldUsage x="2"/>
      </fieldsUsage>
    </cacheHierarchy>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1"/>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23329513891" backgroundQuery="1" createdVersion="8" refreshedVersion="8" minRefreshableVersion="3" recordCount="0" supportSubquery="1" supportAdvancedDrill="1" xr:uid="{903ED4BB-09F9-4212-957D-73331A13DCC5}">
  <cacheSource type="external" connectionId="6"/>
  <cacheFields count="3">
    <cacheField name="[DimStore].[StoreName].[StoreName]" caption="StoreName" numFmtId="0" hierarchy="22" level="1">
      <sharedItems count="5">
        <s v="Al-Fatah Store"/>
        <s v="Chase Up"/>
        <s v="Imtiaz Super Market"/>
        <s v="Metro Store"/>
        <s v="Utility Store"/>
      </sharedItems>
    </cacheField>
    <cacheField name="[DimDate_5Years].[Year].[Year]" caption="Year" numFmtId="0" hierarchy="13"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Date_5Years].[Year].&amp;[2020]"/>
            <x15:cachedUniqueName index="1" name="[DimDate_5Years].[Year].&amp;[2021]"/>
            <x15:cachedUniqueName index="2" name="[DimDate_5Years].[Year].&amp;[2022]"/>
            <x15:cachedUniqueName index="3" name="[DimDate_5Years].[Year].&amp;[2023]"/>
            <x15:cachedUniqueName index="4" name="[DimDate_5Years].[Year].&amp;[2024]"/>
          </x15:cachedUniqueNames>
        </ext>
      </extLst>
    </cacheField>
    <cacheField name="[Measures].[Total Profit]" caption="Total Profit" numFmtId="0" hierarchy="40" level="32767"/>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2" memberValueDatatype="3" unbalanced="0">
      <fieldsUsage count="2">
        <fieldUsage x="-1"/>
        <fieldUsage x="1"/>
      </fieldsUsage>
    </cacheHierarchy>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0"/>
      </fieldsUsage>
    </cacheHierarchy>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2"/>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30262847221" backgroundQuery="1" createdVersion="8" refreshedVersion="8" minRefreshableVersion="3" recordCount="0" supportSubquery="1" supportAdvancedDrill="1" xr:uid="{799F0731-2EE3-4DCA-B7D3-741AF4D45D7E}">
  <cacheSource type="external" connectionId="6"/>
  <cacheFields count="5">
    <cacheField name="[DimProduct].[ProductName].[ProductName]" caption="ProductName" numFmtId="0" hierarchy="18" level="1">
      <sharedItems count="5">
        <s v="Basmati Rice"/>
        <s v="Cooking Oil"/>
        <s v="Detergent"/>
        <s v="Milk Carton"/>
        <s v="Tea Pack"/>
      </sharedItems>
    </cacheField>
    <cacheField name="[DimStore].[City].[City]" caption="City" numFmtId="0" hierarchy="23" level="1">
      <sharedItems containsSemiMixedTypes="0" containsNonDate="0" containsString="0"/>
    </cacheField>
    <cacheField name="[FactSales_LevelUp_5Years].[DiscountPercent].[DiscountPercent]" caption="DiscountPercent" numFmtId="0" hierarchy="32" level="1">
      <sharedItems containsSemiMixedTypes="0" containsNonDate="0" containsString="0"/>
    </cacheField>
    <cacheField name="[DimStore].[StoreName].[StoreName]" caption="StoreName" numFmtId="0" hierarchy="22" level="1">
      <sharedItems count="1">
        <s v="Metro Store"/>
      </sharedItems>
    </cacheField>
    <cacheField name="[Measures].[Total Profit]" caption="Total Profit" numFmtId="0" hierarchy="40" level="32767"/>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3"/>
      </fieldsUsage>
    </cacheHierarchy>
    <cacheHierarchy uniqueName="[DimStore].[City]" caption="City" attribute="1" defaultMemberUniqueName="[DimStore].[City].[All]" allUniqueName="[DimStore].[City].[All]" dimensionUniqueName="[DimStore]" displayFolder="" count="2" memberValueDatatype="130" unbalanced="0">
      <fieldsUsage count="2">
        <fieldUsage x="-1"/>
        <fieldUsage x="1"/>
      </fieldsUsage>
    </cacheHierarchy>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2" memberValueDatatype="5" unbalanced="0">
      <fieldsUsage count="2">
        <fieldUsage x="-1"/>
        <fieldUsage x="2"/>
      </fieldsUsage>
    </cacheHierarchy>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4"/>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30841666668" backgroundQuery="1" createdVersion="8" refreshedVersion="8" minRefreshableVersion="3" recordCount="0" supportSubquery="1" supportAdvancedDrill="1" xr:uid="{5FB374B8-0300-4222-BBE5-A08C1F6BC95F}">
  <cacheSource type="external" connectionId="6"/>
  <cacheFields count="5">
    <cacheField name="[DimProduct].[ProductName].[ProductName]" caption="ProductName" numFmtId="0" hierarchy="18" level="1">
      <sharedItems count="5">
        <s v="Basmati Rice"/>
        <s v="Cooking Oil"/>
        <s v="Detergent"/>
        <s v="Milk Carton"/>
        <s v="Tea Pack"/>
      </sharedItems>
    </cacheField>
    <cacheField name="[Measures].[Total Profit]" caption="Total Profit" numFmtId="0" hierarchy="40" level="32767"/>
    <cacheField name="[DimStore].[StoreName].[StoreName]" caption="StoreName" numFmtId="0" hierarchy="22" level="1">
      <sharedItems count="1">
        <s v="Metro Store"/>
      </sharedItems>
    </cacheField>
    <cacheField name="[DimStore].[City].[City]" caption="City" numFmtId="0" hierarchy="23" level="1">
      <sharedItems containsSemiMixedTypes="0" containsNonDate="0" containsString="0"/>
    </cacheField>
    <cacheField name="[FactSales_LevelUp_5Years].[DiscountPercent].[DiscountPercent]" caption="DiscountPercent" numFmtId="0" hierarchy="32" level="1">
      <sharedItems containsSemiMixedTypes="0" containsNonDate="0" containsString="0"/>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2"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2"/>
      </fieldsUsage>
    </cacheHierarchy>
    <cacheHierarchy uniqueName="[DimStore].[City]" caption="City" attribute="1" defaultMemberUniqueName="[DimStore].[City].[All]" allUniqueName="[DimStore].[City].[All]" dimensionUniqueName="[DimStore]" displayFolder="" count="2" memberValueDatatype="130" unbalanced="0">
      <fieldsUsage count="2">
        <fieldUsage x="-1"/>
        <fieldUsage x="3"/>
      </fieldsUsage>
    </cacheHierarchy>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2" memberValueDatatype="5" unbalanced="0">
      <fieldsUsage count="2">
        <fieldUsage x="-1"/>
        <fieldUsage x="4"/>
      </fieldsUsage>
    </cacheHierarchy>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1"/>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35282986109" backgroundQuery="1" createdVersion="8" refreshedVersion="8" minRefreshableVersion="3" recordCount="0" supportSubquery="1" supportAdvancedDrill="1" xr:uid="{31BE91C9-CD0A-42A2-B896-67AA3A8B5E07}">
  <cacheSource type="external" connectionId="6"/>
  <cacheFields count="5">
    <cacheField name="[DimProduct].[ProductName].[ProductName]" caption="ProductName" numFmtId="0" hierarchy="18" level="1">
      <sharedItems count="1">
        <s v="Detergent"/>
      </sharedItems>
    </cacheField>
    <cacheField name="[DimProduct].[Category].[Category]" caption="Category" numFmtId="0" hierarchy="19" level="1">
      <sharedItems count="1">
        <s v="Household"/>
      </sharedItems>
    </cacheField>
    <cacheField name="[DimStore].[StoreName].[StoreName]" caption="StoreName" numFmtId="0" hierarchy="22" level="1">
      <sharedItems count="5">
        <s v="Al-Fatah Store"/>
        <s v="Chase Up"/>
        <s v="Imtiaz Super Market"/>
        <s v="Metro Store"/>
        <s v="Utility Store"/>
      </sharedItems>
    </cacheField>
    <cacheField name="[DimDate].[Year].[Year]" caption="Year" numFmtId="0" hierarchy="6" level="1">
      <sharedItems containsSemiMixedTypes="0" containsNonDate="0" containsString="0"/>
    </cacheField>
    <cacheField name="[Measures].[Total Sales]" caption="Total Sales" numFmtId="0" hierarchy="37" level="32767"/>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3" unbalanced="0">
      <fieldsUsage count="2">
        <fieldUsage x="-1"/>
        <fieldUsage x="3"/>
      </fieldsUsage>
    </cacheHierarchy>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1"/>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2"/>
      </fieldsUsage>
    </cacheHierarchy>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oneField="1">
      <fieldsUsage count="1">
        <fieldUsage x="4"/>
      </fieldsUsage>
    </cacheHierarchy>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51479976851" backgroundQuery="1" createdVersion="8" refreshedVersion="8" minRefreshableVersion="3" recordCount="0" supportSubquery="1" supportAdvancedDrill="1" xr:uid="{408CEF47-7BC9-4149-8AD6-0800CAC3AE16}">
  <cacheSource type="external" connectionId="6"/>
  <cacheFields count="5">
    <cacheField name="[DimDate_5Years].[Year].[Year]" caption="Year" numFmtId="0" hierarchy="13"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Date_5Years].[Year].&amp;[2020]"/>
            <x15:cachedUniqueName index="1" name="[DimDate_5Years].[Year].&amp;[2021]"/>
            <x15:cachedUniqueName index="2" name="[DimDate_5Years].[Year].&amp;[2022]"/>
            <x15:cachedUniqueName index="3" name="[DimDate_5Years].[Year].&amp;[2023]"/>
            <x15:cachedUniqueName index="4" name="[DimDate_5Years].[Year].&amp;[2024]"/>
          </x15:cachedUniqueNames>
        </ext>
      </extLst>
    </cacheField>
    <cacheField name="[DimProduct].[ProductName].[ProductName]" caption="ProductName" numFmtId="0" hierarchy="18" level="1">
      <sharedItems count="5">
        <s v="Basmati Rice"/>
        <s v="Cooking Oil"/>
        <s v="Detergent"/>
        <s v="Milk Carton"/>
        <s v="Tea Pack"/>
      </sharedItems>
    </cacheField>
    <cacheField name="[Measures].[Total Profit]" caption="Total Profit" numFmtId="0" hierarchy="40" level="32767"/>
    <cacheField name="[DimStore].[StoreName].[StoreName]" caption="StoreName" numFmtId="0" hierarchy="22" level="1">
      <sharedItems containsSemiMixedTypes="0" containsNonDate="0" containsString="0"/>
    </cacheField>
    <cacheField name="[DimStore].[City].[City]" caption="City" numFmtId="0" hierarchy="23" level="1">
      <sharedItems containsSemiMixedTypes="0" containsNonDate="0" containsString="0"/>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2" memberValueDatatype="3" unbalanced="0">
      <fieldsUsage count="2">
        <fieldUsage x="-1"/>
        <fieldUsage x="0"/>
      </fieldsUsage>
    </cacheHierarchy>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3"/>
      </fieldsUsage>
    </cacheHierarchy>
    <cacheHierarchy uniqueName="[DimStore].[City]" caption="City" attribute="1" defaultMemberUniqueName="[DimStore].[City].[All]" allUniqueName="[DimStore].[City].[All]" dimensionUniqueName="[DimStore]" displayFolder="" count="2" memberValueDatatype="130" unbalanced="0">
      <fieldsUsage count="2">
        <fieldUsage x="-1"/>
        <fieldUsage x="4"/>
      </fieldsUsage>
    </cacheHierarchy>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2"/>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56393055552" backgroundQuery="1" createdVersion="8" refreshedVersion="8" minRefreshableVersion="3" recordCount="0" supportSubquery="1" supportAdvancedDrill="1" xr:uid="{64AB3A82-6AB8-4813-96ED-D41C89304807}">
  <cacheSource type="external" connectionId="6"/>
  <cacheFields count="3">
    <cacheField name="[DimStore].[Province].[Province]" caption="Province" numFmtId="0" hierarchy="24" level="1">
      <sharedItems count="5">
        <s v="Balochistan"/>
        <s v="Islamabad"/>
        <s v="Khyber Pakhtunkhwa"/>
        <s v="Punjab"/>
        <s v="Sindh"/>
      </sharedItems>
    </cacheField>
    <cacheField name="[DimDate_5Years].[Year].[Year]" caption="Year" numFmtId="0" hierarchy="13"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Date_5Years].[Year].&amp;[2020]"/>
            <x15:cachedUniqueName index="1" name="[DimDate_5Years].[Year].&amp;[2021]"/>
            <x15:cachedUniqueName index="2" name="[DimDate_5Years].[Year].&amp;[2022]"/>
            <x15:cachedUniqueName index="3" name="[DimDate_5Years].[Year].&amp;[2023]"/>
            <x15:cachedUniqueName index="4" name="[DimDate_5Years].[Year].&amp;[2024]"/>
          </x15:cachedUniqueNames>
        </ext>
      </extLst>
    </cacheField>
    <cacheField name="[Measures].[Total Profit]" caption="Total Profit" numFmtId="0" hierarchy="40" level="32767"/>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2" memberValueDatatype="3" unbalanced="0">
      <fieldsUsage count="2">
        <fieldUsage x="-1"/>
        <fieldUsage x="1"/>
      </fieldsUsage>
    </cacheHierarchy>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2" memberValueDatatype="130" unbalanced="0">
      <fieldsUsage count="2">
        <fieldUsage x="-1"/>
        <fieldUsage x="0"/>
      </fieldsUsage>
    </cacheHierarchy>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2"/>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59210879628" backgroundQuery="1" createdVersion="8" refreshedVersion="8" minRefreshableVersion="3" recordCount="0" supportSubquery="1" supportAdvancedDrill="1" xr:uid="{8EE9AE26-AFA1-46F3-AF9E-F322CFA2240D}">
  <cacheSource type="external" connectionId="6"/>
  <cacheFields count="4">
    <cacheField name="[DimProduct].[Category].[Category]" caption="Category" numFmtId="0" hierarchy="19" level="1">
      <sharedItems containsSemiMixedTypes="0" containsNonDate="0" containsString="0"/>
    </cacheField>
    <cacheField name="[Measures].[Sum of SalesAmount]" caption="Sum of SalesAmount" numFmtId="0" hierarchy="36" level="32767"/>
    <cacheField name="[DimDate_5Years].[Year].[Year]" caption="Year" numFmtId="0" hierarchy="13" level="1">
      <sharedItems containsSemiMixedTypes="0" containsNonDate="0" containsString="0"/>
    </cacheField>
    <cacheField name="[DimDate_5Years].[Date (Month)].[Date (Month)]" caption="Date (Month)" numFmtId="0" hierarchy="16" level="1">
      <sharedItems count="12">
        <s v="Jan"/>
        <s v="Feb"/>
        <s v="Mar"/>
        <s v="Apr"/>
        <s v="May"/>
        <s v="Jun"/>
        <s v="Jul"/>
        <s v="Aug"/>
        <s v="Sep"/>
        <s v="Oct"/>
        <s v="Nov"/>
        <s v="Dec"/>
      </sharedItems>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2"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2"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2" memberValueDatatype="3" unbalanced="0">
      <fieldsUsage count="2">
        <fieldUsage x="-1"/>
        <fieldUsage x="2"/>
      </fieldsUsage>
    </cacheHierarchy>
    <cacheHierarchy uniqueName="[DimDate_5Years].[Date (Year)]" caption="Date (Year)" attribute="1" defaultMemberUniqueName="[DimDate_5Years].[Date (Year)].[All]" allUniqueName="[DimDate_5Years].[Date (Year)].[All]" dimensionUniqueName="[DimDate_5Years]" displayFolder="" count="2" memberValueDatatype="130" unbalanced="0"/>
    <cacheHierarchy uniqueName="[DimDate_5Years].[Date (Quarter)]" caption="Date (Quarter)" attribute="1" defaultMemberUniqueName="[DimDate_5Years].[Date (Quarter)].[All]" allUniqueName="[DimDate_5Years].[Date (Quarter)].[All]" dimensionUniqueName="[DimDate_5Years]" displayFolder="" count="2" memberValueDatatype="130" unbalanced="0"/>
    <cacheHierarchy uniqueName="[DimDate_5Years].[Date (Month)]" caption="Date (Month)" attribute="1" defaultMemberUniqueName="[DimDate_5Years].[Date (Month)].[All]" allUniqueName="[DimDate_5Years].[Date (Month)].[All]" dimensionUniqueName="[DimDate_5Years]" displayFolder="" count="2" memberValueDatatype="130" unbalanced="0">
      <fieldsUsage count="2">
        <fieldUsage x="-1"/>
        <fieldUsage x="3"/>
      </fieldsUsage>
    </cacheHierarchy>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oneField="1">
      <fieldsUsage count="1">
        <fieldUsage x="1"/>
      </fieldsUsage>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965200810184" backgroundQuery="1" createdVersion="8" refreshedVersion="8" minRefreshableVersion="3" recordCount="0" supportSubquery="1" supportAdvancedDrill="1" xr:uid="{C65FDCA1-3C64-4FF6-B6D2-6AFB1283F44A}">
  <cacheSource type="external" connectionId="6"/>
  <cacheFields count="3">
    <cacheField name="[DimProduct].[Category].[Category]" caption="Category" numFmtId="0" hierarchy="19" level="1">
      <sharedItems count="4">
        <s v="Beverages"/>
        <s v="Dairy"/>
        <s v="Grocery"/>
        <s v="Household"/>
      </sharedItems>
    </cacheField>
    <cacheField name="[Measures].[Total Profit]" caption="Total Profit" numFmtId="0" hierarchy="40" level="32767"/>
    <cacheField name="[DimDate_5Years].[Date (Month)].[Date (Month)]" caption="Date (Month)" numFmtId="0" hierarchy="16" level="1">
      <sharedItems count="12">
        <s v="Jan"/>
        <s v="Feb"/>
        <s v="Mar"/>
        <s v="Apr"/>
        <s v="May"/>
        <s v="Jun"/>
        <s v="Jul"/>
        <s v="Aug"/>
        <s v="Sep"/>
        <s v="Oct"/>
        <s v="Nov"/>
        <s v="Dec"/>
      </sharedItems>
    </cacheField>
  </cacheFields>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2"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2" memberValueDatatype="130" unbalanced="0">
      <fieldsUsage count="2">
        <fieldUsage x="-1"/>
        <fieldUsage x="2"/>
      </fieldsUsage>
    </cacheHierarchy>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oneField="1">
      <fieldsUsage count="1">
        <fieldUsage x="1"/>
      </fieldsUsage>
    </cacheHierarchy>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dimensions count="6">
    <dimension name="DimDate" uniqueName="[DimDate]" caption="DimDate"/>
    <dimension name="DimDate_5Years" uniqueName="[DimDate_5Years]" caption="DimDate_5Years"/>
    <dimension name="DimProduct" uniqueName="[DimProduct]" caption="DimProduct"/>
    <dimension name="DimStore" uniqueName="[DimStore]" caption="DimStore"/>
    <dimension name="FactSales_LevelUp_5Years" uniqueName="[FactSales_LevelUp_5Years]" caption="FactSales_LevelUp_5Years"/>
    <dimension measure="1" name="Measures" uniqueName="[Measures]" caption="Measures"/>
  </dimensions>
  <measureGroups count="5">
    <measureGroup name="DimDate" caption="DimDate"/>
    <measureGroup name="DimDate_5Years" caption="DimDate_5Years"/>
    <measureGroup name="DimProduct" caption="DimProduct"/>
    <measureGroup name="DimStore" caption="DimStore"/>
    <measureGroup name="FactSales_LevelUp_5Years" caption="FactSales_LevelUp_5Yea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2.701664004628" backgroundQuery="1" createdVersion="3" refreshedVersion="8" minRefreshableVersion="3" recordCount="0" supportSubquery="1" supportAdvancedDrill="1" xr:uid="{FD60AA5C-6B12-4678-B13F-FC8AFF9B76BD}">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DimDate].[DateKey]" caption="DateKey" attribute="1" defaultMemberUniqueName="[DimDate].[DateKey].[All]" allUniqueName="[DimDate].[DateKey].[All]" dimensionUniqueName="[DimDate]" displayFolder="" count="0" memberValueDatatype="3"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3" unbalanced="0"/>
    <cacheHierarchy uniqueName="[DimDate].[Month]" caption="Month" attribute="1" defaultMemberUniqueName="[DimDate].[Month].[All]" allUniqueName="[DimDate].[Month].[All]" dimensionUniqueName="[DimDate]" displayFolder="" count="0" memberValueDatatype="3"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3" unbalanced="0"/>
    <cacheHierarchy uniqueName="[DimDate_5Years].[DateKey]" caption="DateKey" attribute="1" defaultMemberUniqueName="[DimDate_5Years].[DateKey].[All]" allUniqueName="[DimDate_5Years].[DateKey].[All]" dimensionUniqueName="[DimDate_5Years]" displayFolder="" count="0" memberValueDatatype="3" unbalanced="0"/>
    <cacheHierarchy uniqueName="[DimDate_5Years].[Date]" caption="Date" attribute="1" time="1" defaultMemberUniqueName="[DimDate_5Years].[Date].[All]" allUniqueName="[DimDate_5Years].[Date].[All]" dimensionUniqueName="[DimDate_5Years]" displayFolder="" count="0" memberValueDatatype="7" unbalanced="0"/>
    <cacheHierarchy uniqueName="[DimDate_5Years].[Day]" caption="Day" attribute="1" defaultMemberUniqueName="[DimDate_5Years].[Day].[All]" allUniqueName="[DimDate_5Years].[Day].[All]" dimensionUniqueName="[DimDate_5Years]" displayFolder="" count="0" memberValueDatatype="3" unbalanced="0"/>
    <cacheHierarchy uniqueName="[DimDate_5Years].[Month]" caption="Month" attribute="1" defaultMemberUniqueName="[DimDate_5Years].[Month].[All]" allUniqueName="[DimDate_5Years].[Month].[All]" dimensionUniqueName="[DimDate_5Years]" displayFolder="" count="0" memberValueDatatype="3" unbalanced="0"/>
    <cacheHierarchy uniqueName="[DimDate_5Years].[MonthName]" caption="MonthName" attribute="1" defaultMemberUniqueName="[DimDate_5Years].[MonthName].[All]" allUniqueName="[DimDate_5Years].[MonthName].[All]" dimensionUniqueName="[DimDate_5Years]" displayFolder="" count="0" memberValueDatatype="130" unbalanced="0"/>
    <cacheHierarchy uniqueName="[DimDate_5Years].[Quarter]" caption="Quarter" attribute="1" defaultMemberUniqueName="[DimDate_5Years].[Quarter].[All]" allUniqueName="[DimDate_5Years].[Quarter].[All]" dimensionUniqueName="[DimDate_5Years]" displayFolder="" count="0" memberValueDatatype="130" unbalanced="0"/>
    <cacheHierarchy uniqueName="[DimDate_5Years].[Year]" caption="Year" attribute="1" defaultMemberUniqueName="[DimDate_5Years].[Year].[All]" allUniqueName="[DimDate_5Years].[Year].[All]" dimensionUniqueName="[DimDate_5Years]" displayFolder="" count="0" memberValueDatatype="3" unbalanced="0"/>
    <cacheHierarchy uniqueName="[DimDate_5Years].[Date (Year)]" caption="Date (Year)" attribute="1" defaultMemberUniqueName="[DimDate_5Years].[Date (Year)].[All]" allUniqueName="[DimDate_5Years].[Date (Year)].[All]" dimensionUniqueName="[DimDate_5Years]" displayFolder="" count="0" memberValueDatatype="130" unbalanced="0"/>
    <cacheHierarchy uniqueName="[DimDate_5Years].[Date (Quarter)]" caption="Date (Quarter)" attribute="1" defaultMemberUniqueName="[DimDate_5Years].[Date (Quarter)].[All]" allUniqueName="[DimDate_5Years].[Date (Quarter)].[All]" dimensionUniqueName="[DimDate_5Years]" displayFolder="" count="0" memberValueDatatype="130" unbalanced="0"/>
    <cacheHierarchy uniqueName="[DimDate_5Years].[Date (Month)]" caption="Date (Month)" attribute="1" defaultMemberUniqueName="[DimDate_5Years].[Date (Month)].[All]" allUniqueName="[DimDate_5Years].[Date (Month)].[All]" dimensionUniqueName="[DimDate_5Year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Store].[StoreKey]" caption="StoreKey" attribute="1" defaultMemberUniqueName="[DimStore].[StoreKey].[All]" allUniqueName="[DimStore].[StoreKey].[All]" dimensionUniqueName="[DimStore]" displayFolder="" count="0" memberValueDatatype="3" unbalanced="0"/>
    <cacheHierarchy uniqueName="[DimStore].[StoreName]" caption="StoreName" attribute="1" defaultMemberUniqueName="[DimStore].[StoreName].[All]" allUniqueName="[DimStore].[StoreNam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Province]" caption="Province" attribute="1" defaultMemberUniqueName="[DimStore].[Province].[All]" allUniqueName="[DimStore].[Province].[All]" dimensionUniqueName="[DimStore]" displayFolder="" count="0" memberValueDatatype="130" unbalanced="0"/>
    <cacheHierarchy uniqueName="[FactSales_LevelUp_5Years].[SaleID]" caption="SaleID" attribute="1" defaultMemberUniqueName="[FactSales_LevelUp_5Years].[SaleID].[All]" allUniqueName="[FactSales_LevelUp_5Years].[SaleID].[All]" dimensionUniqueName="[FactSales_LevelUp_5Years]" displayFolder="" count="0" memberValueDatatype="3" unbalanced="0"/>
    <cacheHierarchy uniqueName="[FactSales_LevelUp_5Years].[DateKey]" caption="DateKey" attribute="1" defaultMemberUniqueName="[FactSales_LevelUp_5Years].[DateKey].[All]" allUniqueName="[FactSales_LevelUp_5Years].[DateKey].[All]" dimensionUniqueName="[FactSales_LevelUp_5Years]" displayFolder="" count="0" memberValueDatatype="3" unbalanced="0"/>
    <cacheHierarchy uniqueName="[FactSales_LevelUp_5Years].[ProductKey]" caption="ProductKey" attribute="1" defaultMemberUniqueName="[FactSales_LevelUp_5Years].[ProductKey].[All]" allUniqueName="[FactSales_LevelUp_5Years].[ProductKey].[All]" dimensionUniqueName="[FactSales_LevelUp_5Years]" displayFolder="" count="0" memberValueDatatype="3" unbalanced="0"/>
    <cacheHierarchy uniqueName="[FactSales_LevelUp_5Years].[StoreKey]" caption="StoreKey" attribute="1" defaultMemberUniqueName="[FactSales_LevelUp_5Years].[StoreKey].[All]" allUniqueName="[FactSales_LevelUp_5Years].[StoreKey].[All]" dimensionUniqueName="[FactSales_LevelUp_5Years]" displayFolder="" count="0" memberValueDatatype="3" unbalanced="0"/>
    <cacheHierarchy uniqueName="[FactSales_LevelUp_5Years].[Quantity]" caption="Quantity" attribute="1" defaultMemberUniqueName="[FactSales_LevelUp_5Years].[Quantity].[All]" allUniqueName="[FactSales_LevelUp_5Years].[Quantity].[All]" dimensionUniqueName="[FactSales_LevelUp_5Years]" displayFolder="" count="0" memberValueDatatype="3" unbalanced="0"/>
    <cacheHierarchy uniqueName="[FactSales_LevelUp_5Years].[SalesAmount]" caption="SalesAmount" attribute="1" defaultMemberUniqueName="[FactSales_LevelUp_5Years].[SalesAmount].[All]" allUniqueName="[FactSales_LevelUp_5Years].[SalesAmount].[All]" dimensionUniqueName="[FactSales_LevelUp_5Years]" displayFolder="" count="0" memberValueDatatype="5" unbalanced="0"/>
    <cacheHierarchy uniqueName="[FactSales_LevelUp_5Years].[CostAmount]" caption="CostAmount" attribute="1" defaultMemberUniqueName="[FactSales_LevelUp_5Years].[CostAmount].[All]" allUniqueName="[FactSales_LevelUp_5Years].[CostAmount].[All]" dimensionUniqueName="[FactSales_LevelUp_5Years]" displayFolder="" count="0" memberValueDatatype="5" unbalanced="0"/>
    <cacheHierarchy uniqueName="[FactSales_LevelUp_5Years].[DiscountPercent]" caption="DiscountPercent" attribute="1" defaultMemberUniqueName="[FactSales_LevelUp_5Years].[DiscountPercent].[All]" allUniqueName="[FactSales_LevelUp_5Years].[DiscountPercent].[All]" dimensionUniqueName="[FactSales_LevelUp_5Years]" displayFolder="" count="0" memberValueDatatype="5" unbalanced="0"/>
    <cacheHierarchy uniqueName="[FactSales_LevelUp_5Years].[Profit]" caption="Profit" attribute="1" defaultMemberUniqueName="[FactSales_LevelUp_5Years].[Profit].[All]" allUniqueName="[FactSales_LevelUp_5Years].[Profit].[All]" dimensionUniqueName="[FactSales_LevelUp_5Years]" displayFolder="" count="0" memberValueDatatype="5" unbalanced="0"/>
    <cacheHierarchy uniqueName="[DimDate_5Years].[Date (Month Index)]" caption="Date (Month Index)" attribute="1" defaultMemberUniqueName="[DimDate_5Years].[Date (Month Index)].[All]" allUniqueName="[DimDate_5Years].[Date (Month Index)].[All]" dimensionUniqueName="[DimDate_5Years]" displayFolder="" count="0" memberValueDatatype="20" unbalanced="0" hidden="1"/>
    <cacheHierarchy uniqueName="[Measures].[Sum of Profit]" caption="Sum of Profit" measure="1" displayFolder="" measureGroup="FactSales_LevelUp_5Years" count="0">
      <extLst>
        <ext xmlns:x15="http://schemas.microsoft.com/office/spreadsheetml/2010/11/main" uri="{B97F6D7D-B522-45F9-BDA1-12C45D357490}">
          <x15:cacheHierarchy aggregatedColumn="33"/>
        </ext>
      </extLst>
    </cacheHierarchy>
    <cacheHierarchy uniqueName="[Measures].[Sum of SalesAmount]" caption="Sum of SalesAmount" measure="1" displayFolder="" measureGroup="FactSales_LevelUp_5Years" count="0">
      <extLst>
        <ext xmlns:x15="http://schemas.microsoft.com/office/spreadsheetml/2010/11/main" uri="{B97F6D7D-B522-45F9-BDA1-12C45D357490}">
          <x15:cacheHierarchy aggregatedColumn="30"/>
        </ext>
      </extLst>
    </cacheHierarchy>
    <cacheHierarchy uniqueName="[Measures].[Total Sales]" caption="Total Sales" measure="1" displayFolder="" measureGroup="FactSales_LevelUp_5Years" count="0"/>
    <cacheHierarchy uniqueName="[Measures].[Total Quantity]" caption="Total Quantity" measure="1" displayFolder="" measureGroup="FactSales_LevelUp_5Years" count="0"/>
    <cacheHierarchy uniqueName="[Measures].[Total Cost]" caption="Total Cost" measure="1" displayFolder="" measureGroup="FactSales_LevelUp_5Years" count="0"/>
    <cacheHierarchy uniqueName="[Measures].[Total Profit]" caption="Total Profit" measure="1" displayFolder="" measureGroup="FactSales_LevelUp_5Years" count="0"/>
    <cacheHierarchy uniqueName="[Measures].[Average Discount]" caption="Average Discount" measure="1" displayFolder="" measureGroup="FactSales_LevelUp_5Years" count="0"/>
    <cacheHierarchy uniqueName="[Measures].[Profit Margin %]" caption="Profit Margin %" measure="1" displayFolder="" measureGroup="FactSales_LevelUp_5Years" count="0"/>
    <cacheHierarchy uniqueName="[Measures].[__XL_Count DimStore]" caption="__XL_Count DimStore" measure="1" displayFolder="" measureGroup="DimStore"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Date_5Years]" caption="__XL_Count DimDate_5Years" measure="1" displayFolder="" measureGroup="DimDate_5Years" count="0" hidden="1"/>
    <cacheHierarchy uniqueName="[Measures].[__XL_Count FactSales_LevelUp_5Years]" caption="__XL_Count FactSales_LevelUp_5Years" measure="1" displayFolder="" measureGroup="FactSales_LevelUp_5Yea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84443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5C814-E3E1-4FFB-BCF6-E1BC29299BE8}" name="PivotTable1" cacheId="114" applyNumberFormats="0" applyBorderFormats="0" applyFontFormats="0" applyPatternFormats="0" applyAlignmentFormats="0" applyWidthHeightFormats="1" dataCaption="Values" tag="d241234c-910f-4d49-82bb-4e42bc1af514" updatedVersion="8" minRefreshableVersion="3" useAutoFormatting="1" itemPrintTitles="1" createdVersion="8" indent="0" outline="1" outlineData="1" multipleFieldFilters="0" chartFormat="13" rowHeaderCaption="Year" colHeaderCaption="Province">
  <location ref="B3:H10" firstHeaderRow="1" firstDataRow="2" firstDataCol="1"/>
  <pivotFields count="3">
    <pivotField axis="axisCol" allDrilled="1" subtotalTop="0" showAll="0"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6">
    <i>
      <x/>
    </i>
    <i>
      <x v="1"/>
    </i>
    <i>
      <x v="2"/>
    </i>
    <i>
      <x v="3"/>
    </i>
    <i>
      <x v="4"/>
    </i>
    <i t="grand">
      <x/>
    </i>
  </colItems>
  <dataFields count="1">
    <dataField fld="2" subtotal="count" baseField="0" baseItem="0"/>
  </dataFields>
  <chartFormats count="22">
    <chartFormat chart="3" format="5"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3"/>
          </reference>
        </references>
      </pivotArea>
    </chartFormat>
    <chartFormat chart="3" format="7" series="1">
      <pivotArea type="data" outline="0" fieldPosition="0">
        <references count="2">
          <reference field="4294967294" count="1" selected="0">
            <x v="0"/>
          </reference>
          <reference field="1" count="1" selected="0">
            <x v="4"/>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 chart="9" format="5"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0" count="1" selected="0">
            <x v="1"/>
          </reference>
        </references>
      </pivotArea>
    </chartFormat>
    <chartFormat chart="9" format="7" series="1">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2">
          <reference field="4294967294" count="1" selected="0">
            <x v="0"/>
          </reference>
          <reference field="0" count="1" selected="0">
            <x v="3"/>
          </reference>
        </references>
      </pivotArea>
    </chartFormat>
    <chartFormat chart="9" format="9" series="1">
      <pivotArea type="data" outline="0" fieldPosition="0">
        <references count="2">
          <reference field="4294967294" count="1" selected="0">
            <x v="0"/>
          </reference>
          <reference field="0" count="1" selected="0">
            <x v="4"/>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3" format="15" series="1">
      <pivotArea type="data" outline="0" fieldPosition="0">
        <references count="2">
          <reference field="4294967294" count="1" selected="0">
            <x v="0"/>
          </reference>
          <reference field="0" count="1" selected="0">
            <x v="0"/>
          </reference>
        </references>
      </pivotArea>
    </chartFormat>
    <chartFormat chart="9" format="10" series="1">
      <pivotArea type="data" outline="0" fieldPosition="0">
        <references count="2">
          <reference field="4294967294" count="1" selected="0">
            <x v="0"/>
          </reference>
          <reference field="0"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FactSales_LevelUp_5Years]"/>
        <x15:activeTabTopLevelEntity name="[DimDate_5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E0CCB-587A-47DC-A87C-A12537E59BC5}" name="PivotTable2" cacheId="79" applyNumberFormats="0" applyBorderFormats="0" applyFontFormats="0" applyPatternFormats="0" applyAlignmentFormats="0" applyWidthHeightFormats="1" dataCaption="Values" tag="ed4e237e-931f-458b-a244-0e13b3eb3f6c" updatedVersion="8" minRefreshableVersion="3" useAutoFormatting="1" itemPrintTitles="1" createdVersion="8" indent="0" outline="1" outlineData="1" multipleFieldFilters="0" chartFormat="15" rowHeaderCaption="Store">
  <location ref="B3:C19" firstHeaderRow="1" firstDataRow="1" firstDataCol="1" rowPageCount="1" colPageCount="1"/>
  <pivotFields count="5">
    <pivotField axis="axisRow" allDrilled="1" subtotalTop="0" showAll="0"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s>
  <rowFields count="3">
    <field x="2"/>
    <field x="1"/>
    <field x="0"/>
  </rowFields>
  <rowItems count="16">
    <i>
      <x/>
    </i>
    <i r="1">
      <x/>
    </i>
    <i r="2">
      <x/>
    </i>
    <i>
      <x v="1"/>
    </i>
    <i r="1">
      <x/>
    </i>
    <i r="2">
      <x/>
    </i>
    <i>
      <x v="2"/>
    </i>
    <i r="1">
      <x/>
    </i>
    <i r="2">
      <x/>
    </i>
    <i>
      <x v="3"/>
    </i>
    <i r="1">
      <x/>
    </i>
    <i r="2">
      <x/>
    </i>
    <i>
      <x v="4"/>
    </i>
    <i r="1">
      <x/>
    </i>
    <i r="2">
      <x/>
    </i>
    <i t="grand">
      <x/>
    </i>
  </rowItems>
  <colItems count="1">
    <i/>
  </colItems>
  <pageFields count="1">
    <pageField fld="3" hier="6" name="[DimDate].[Year].[All]" cap="All"/>
  </pageFields>
  <dataFields count="1">
    <dataField fld="4"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2"/>
    <rowHierarchyUsage hierarchyUsage="19"/>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_LevelUp_5Years]"/>
        <x15:activeTabTopLevelEntity name="[DimStor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3D34F-AE90-490D-B226-EF159D306A8B}" name="PivotTable3" cacheId="120" applyNumberFormats="0" applyBorderFormats="0" applyFontFormats="0" applyPatternFormats="0" applyAlignmentFormats="0" applyWidthHeightFormats="1" dataCaption="Values" tag="2c1dd5b1-3c5f-4180-944b-3332991b3319" updatedVersion="8" minRefreshableVersion="3" useAutoFormatting="1" subtotalHiddenItems="1" itemPrintTitles="1" createdVersion="8" indent="0" outline="1" outlineData="1" multipleFieldFilters="0" chartFormat="7" rowHeaderCaption="Month" colHeaderCaption="Month">
  <location ref="B3:C16" firstHeaderRow="1" firstDataRow="1" firstDataCol="1" rowPageCount="1" colPageCount="1"/>
  <pivotFields count="4">
    <pivotField allDrilled="1" subtotalTop="0" showAll="0"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Items count="1">
    <i/>
  </colItems>
  <pageFields count="1">
    <pageField fld="2" hier="13" name="[DimDate_5Years].[Year].[All]" cap="All"/>
  </pageFields>
  <dataFields count="1">
    <dataField name="SalesAmount" fld="1" baseField="3" baseItem="0"/>
  </dataFields>
  <chartFormats count="1">
    <chartFormat chart="2"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Product].[Category].&amp;[Beverag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DimProduct]"/>
        <x15:activeTabTopLevelEntity name="[DimDate]"/>
        <x15:activeTabTopLevelEntity name="[FactSales_LevelUp_5Years]"/>
        <x15:activeTabTopLevelEntity name="[DimDate_5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85FCC0-E8BB-488B-8861-661BD7BAB2A2}" name="PivotTable2" cacheId="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33:D40" firstHeaderRow="1" firstDataRow="2" firstDataCol="1" rowPageCount="2"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1">
        <item x="0"/>
      </items>
    </pivotField>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t="grand">
      <x/>
    </i>
  </colItems>
  <pageFields count="2">
    <pageField fld="3" hier="23" name="[DimStore].[City].&amp;[Karachi]" cap="Karachi"/>
    <pageField fld="4" hier="32" name="[FactSales_LevelUp_5Years].[DiscountPercent].&amp;[0]" cap="0"/>
  </pageFields>
  <dataFields count="1">
    <dataField fld="1" subtotal="count" baseField="0" baseItem="0"/>
  </dataFields>
  <chartFormats count="1">
    <chartFormat chart="0" format="0" series="1">
      <pivotArea type="data" outline="0" fieldPosition="0">
        <references count="2">
          <reference field="4294967294" count="1" selected="0">
            <x v="0"/>
          </reference>
          <reference field="2"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_LevelUp_5Years]"/>
        <x15:activeTabTopLevelEntity name="[Dim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BCFA4-F251-492E-A315-C67664C1D4F7}" name="PivotTable4" cacheId="73" applyNumberFormats="0" applyBorderFormats="0" applyFontFormats="0" applyPatternFormats="0" applyAlignmentFormats="0" applyWidthHeightFormats="1" dataCaption="Values" tag="5688503c-35b0-4140-9222-865e5db933d7" updatedVersion="8" minRefreshableVersion="3" useAutoFormatting="1" itemPrintTitles="1" createdVersion="8" indent="0" outline="1" outlineData="1" multipleFieldFilters="0" chartFormat="11" rowHeaderCaption="Product" colHeaderCaption="Store">
  <location ref="B4:D11" firstHeaderRow="1" firstDataRow="2" firstDataCol="1" rowPageCount="2" colPageCount="1"/>
  <pivotFields count="5">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1">
        <item x="0"/>
      </items>
    </pivotField>
    <pivotField dataField="1" subtotalTop="0" showAll="0" defaultSubtotal="0"/>
  </pivotFields>
  <rowFields count="1">
    <field x="0"/>
  </rowFields>
  <rowItems count="6">
    <i>
      <x/>
    </i>
    <i>
      <x v="1"/>
    </i>
    <i>
      <x v="2"/>
    </i>
    <i>
      <x v="3"/>
    </i>
    <i>
      <x v="4"/>
    </i>
    <i t="grand">
      <x/>
    </i>
  </rowItems>
  <colFields count="1">
    <field x="3"/>
  </colFields>
  <colItems count="2">
    <i>
      <x/>
    </i>
    <i t="grand">
      <x/>
    </i>
  </colItems>
  <pageFields count="2">
    <pageField fld="1" hier="23" name="[DimStore].[City].&amp;[Karachi]" cap="Karachi"/>
    <pageField fld="2" hier="32" name="[FactSales_LevelUp_5Years].[DiscountPercent].&amp;[1.E1]" cap="10"/>
  </pageFields>
  <dataFields count="1">
    <dataField fld="4" subtotal="count" baseField="0" baseItem="0"/>
  </dataFields>
  <chartFormats count="1">
    <chartFormat chart="7" format="0" series="1">
      <pivotArea type="data" outline="0" fieldPosition="0">
        <references count="2">
          <reference field="4294967294" count="1" selected="0">
            <x v="0"/>
          </reference>
          <reference field="3"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Sales_LevelUp_5Years].[DiscountPercent].&amp;[1.E1]"/>
        <member name="[FactSales_LevelUp_5Years].[DiscountPercent].&amp;[1.5E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_LevelUp_5Years]"/>
        <x15:activeTabTopLevelEntity name="[Dim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D7AD42-C8C7-4B80-8F43-5BE4F9C5DFC2}" name="PivotTable6" cacheId="5" applyNumberFormats="0" applyBorderFormats="0" applyFontFormats="0" applyPatternFormats="0" applyAlignmentFormats="0" applyWidthHeightFormats="1" dataCaption="Values" tag="99b4522c-f6ee-41f1-897c-f264d118584d" updatedVersion="8" minRefreshableVersion="3" useAutoFormatting="1" itemPrintTitles="1" createdVersion="8" indent="0" outline="1" outlineData="1" multipleFieldFilters="0" chartFormat="4" rowHeaderCaption="Product">
  <location ref="B3:C9" firstHeaderRow="1" firstDataRow="1" firstDataCol="1" rowPageCount="1" colPageCount="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23" name="[DimStore].[City].&amp;[Karachi]" cap="Karachi"/>
  </pageField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_LevelUp_5Years]"/>
        <x15:activeTabTopLevelEntity name="[Dim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B3BEB5-031F-4C55-B773-AD1B1E029CA6}" name="PivotTable5" cacheId="1" applyNumberFormats="0" applyBorderFormats="0" applyFontFormats="0" applyPatternFormats="0" applyAlignmentFormats="0" applyWidthHeightFormats="1" dataCaption="Values" tag="2cdab52a-c584-4edc-88ab-9765ff372c67" updatedVersion="8" minRefreshableVersion="3" useAutoFormatting="1" itemPrintTitles="1" createdVersion="8" indent="0" outline="1" outlineData="1" multipleFieldFilters="0" chartFormat="2" rowHeaderCaption="Product" colHeaderCaption="Store">
  <location ref="B3:H10" firstHeaderRow="1" firstDataRow="2"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v="4"/>
    </i>
    <i>
      <x/>
    </i>
    <i>
      <x v="3"/>
    </i>
    <i>
      <x v="2"/>
    </i>
    <i>
      <x v="1"/>
    </i>
    <i t="grand">
      <x/>
    </i>
  </rowItems>
  <colFields count="1">
    <field x="1"/>
  </colFields>
  <colItems count="6">
    <i>
      <x/>
    </i>
    <i>
      <x v="1"/>
    </i>
    <i>
      <x v="2"/>
    </i>
    <i>
      <x v="3"/>
    </i>
    <i>
      <x v="4"/>
    </i>
    <i t="grand">
      <x/>
    </i>
  </colItems>
  <pageFields count="1">
    <pageField fld="3" hier="6" name="[DimDate].[Year].[All]" cap="All"/>
  </pageFields>
  <dataFields count="1">
    <dataField fld="2"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Store]"/>
        <x15:activeTabTopLevelEntity name="[FactSales_LevelUp_5Year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13E614-38CD-40D1-97F5-B1AF844AC40A}"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H10"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6">
    <i>
      <x/>
    </i>
    <i>
      <x v="1"/>
    </i>
    <i>
      <x v="2"/>
    </i>
    <i>
      <x v="3"/>
    </i>
    <i>
      <x v="4"/>
    </i>
    <i t="grand">
      <x/>
    </i>
  </colItems>
  <dataFields count="1">
    <dataField fld="2" subtotal="count" baseField="0" baseItem="0"/>
  </dataFields>
  <chartFormats count="6">
    <chartFormat chart="0" format="1"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2">
          <reference field="4294967294" count="1" selected="0">
            <x v="0"/>
          </reference>
          <reference field="0" count="1" selected="0">
            <x v="2"/>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 chart="0" format="9" series="1">
      <pivotArea type="data" outline="0" fieldPosition="0">
        <references count="2">
          <reference field="4294967294" count="1" selected="0">
            <x v="0"/>
          </reference>
          <reference field="0"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FactSales_LevelUp_5Years]"/>
        <x15:activeTabTopLevelEntity name="[DimDate_5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46741C-EEF3-4FCE-84A5-67765B6953E4}" name="PivotTable3"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colHeaderCaption="Product">
  <location ref="B4:H11" firstHeaderRow="1" firstDataRow="2" firstDataCol="1" rowPageCount="2" colPageCount="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pageFields count="2">
    <pageField fld="3" hier="22" name="[DimStore].[StoreName].[All]" cap="All"/>
    <pageField fld="4" hier="23" name="[DimStore].[City].[All]" cap="All"/>
  </pageFields>
  <dataFields count="1">
    <dataField fld="2"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_5Years]"/>
        <x15:activeTabTopLevelEntity name="[DimProduct]"/>
        <x15:activeTabTopLevelEntity name="[FactSales_LevelUp_5Years]"/>
        <x15:activeTabTopLevelEntity name="[Dim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F1E6E9-8667-4834-AA03-599B7E30F7D4}" name="PivotTable4"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colHeaderCaption="Product Category">
  <location ref="B2:G16"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Date_5Years]"/>
        <x15:activeTabTopLevelEntity name="[FactSales_LevelUp_5Yea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39EE2D-B92F-4444-A69D-BD5EFAAFC2FC}" sourceName="[DimProduct].[Category]">
  <pivotTables>
    <pivotTable tabId="3" name="PivotTable3"/>
  </pivotTables>
  <data>
    <olap pivotCacheId="588444340">
      <levels count="2">
        <level uniqueName="[DimProduct].[Category].[(All)]" sourceCaption="(All)" count="0"/>
        <level uniqueName="[DimProduct].[Category].[Category]" sourceCaption="Category" count="4">
          <ranges>
            <range startItem="0">
              <i n="[DimProduct].[Category].&amp;[Beverages]" c="Beverages"/>
              <i n="[DimProduct].[Category].&amp;[Dairy]" c="Dairy"/>
              <i n="[DimProduct].[Category].&amp;[Grocery]" c="Grocery"/>
              <i n="[DimProduct].[Category].&amp;[Household]" c="Household"/>
            </range>
          </ranges>
        </level>
      </levels>
      <selections count="1">
        <selection n="[DimProduct].[Category].&amp;[Beverag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0DB1392-37E3-4EFE-AD46-9BFBD25EB2C7}" cache="Slicer_Category" caption="Category" level="1" style="SlicerStyleLigh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DD5A-DD60-4A69-BA7B-ECA19CD82BC1}">
  <dimension ref="B3:H10"/>
  <sheetViews>
    <sheetView tabSelected="1" zoomScale="85" zoomScaleNormal="85" workbookViewId="0">
      <selection activeCell="A16" sqref="A16"/>
    </sheetView>
  </sheetViews>
  <sheetFormatPr defaultRowHeight="15" x14ac:dyDescent="0.25"/>
  <cols>
    <col min="2" max="2" width="13.42578125" bestFit="1" customWidth="1"/>
    <col min="3" max="3" width="11.42578125" bestFit="1" customWidth="1"/>
    <col min="4" max="4" width="10.140625" bestFit="1" customWidth="1"/>
    <col min="5" max="5" width="19.85546875" bestFit="1" customWidth="1"/>
    <col min="6" max="7" width="9.5703125" bestFit="1" customWidth="1"/>
    <col min="8" max="8" width="11.28515625" bestFit="1" customWidth="1"/>
    <col min="9" max="9" width="12.7109375" bestFit="1" customWidth="1"/>
    <col min="10" max="10" width="10.85546875" bestFit="1" customWidth="1"/>
    <col min="11" max="11" width="12.7109375" bestFit="1" customWidth="1"/>
    <col min="12" max="12" width="10.85546875" bestFit="1" customWidth="1"/>
    <col min="13" max="13" width="17.85546875" bestFit="1" customWidth="1"/>
    <col min="14" max="14" width="15.85546875" bestFit="1" customWidth="1"/>
  </cols>
  <sheetData>
    <row r="3" spans="2:8" x14ac:dyDescent="0.25">
      <c r="B3" s="1" t="s">
        <v>15</v>
      </c>
      <c r="C3" s="1" t="s">
        <v>48</v>
      </c>
    </row>
    <row r="4" spans="2:8" x14ac:dyDescent="0.25">
      <c r="B4" s="1" t="s">
        <v>7</v>
      </c>
      <c r="C4" t="s">
        <v>1</v>
      </c>
      <c r="D4" t="s">
        <v>2</v>
      </c>
      <c r="E4" t="s">
        <v>3</v>
      </c>
      <c r="F4" t="s">
        <v>4</v>
      </c>
      <c r="G4" t="s">
        <v>5</v>
      </c>
      <c r="H4" t="s">
        <v>6</v>
      </c>
    </row>
    <row r="5" spans="2:8" x14ac:dyDescent="0.25">
      <c r="B5" s="2">
        <v>2020</v>
      </c>
      <c r="C5" s="4">
        <v>63466.95</v>
      </c>
      <c r="D5" s="4">
        <v>61319.15</v>
      </c>
      <c r="E5" s="4">
        <v>59336.3</v>
      </c>
      <c r="F5" s="4">
        <v>64814.45</v>
      </c>
      <c r="G5" s="4">
        <v>78394.2</v>
      </c>
      <c r="H5" s="4">
        <v>327331.05</v>
      </c>
    </row>
    <row r="6" spans="2:8" x14ac:dyDescent="0.25">
      <c r="B6" s="2">
        <v>2021</v>
      </c>
      <c r="C6" s="4">
        <v>66329.100000000006</v>
      </c>
      <c r="D6" s="4">
        <v>77935.100000000006</v>
      </c>
      <c r="E6" s="4">
        <v>74437.8</v>
      </c>
      <c r="F6" s="4">
        <v>65027.45</v>
      </c>
      <c r="G6" s="4">
        <v>55183.15</v>
      </c>
      <c r="H6" s="4">
        <v>338912.6</v>
      </c>
    </row>
    <row r="7" spans="2:8" x14ac:dyDescent="0.25">
      <c r="B7" s="2">
        <v>2022</v>
      </c>
      <c r="C7" s="4">
        <v>80107.55</v>
      </c>
      <c r="D7" s="4">
        <v>64083.45</v>
      </c>
      <c r="E7" s="4">
        <v>65208.6</v>
      </c>
      <c r="F7" s="4">
        <v>68542.55</v>
      </c>
      <c r="G7" s="4">
        <v>56297.65</v>
      </c>
      <c r="H7" s="4">
        <v>334239.8</v>
      </c>
    </row>
    <row r="8" spans="2:8" x14ac:dyDescent="0.25">
      <c r="B8" s="2">
        <v>2023</v>
      </c>
      <c r="C8" s="4">
        <v>60425.15</v>
      </c>
      <c r="D8" s="4">
        <v>66368.7</v>
      </c>
      <c r="E8" s="4">
        <v>71123.350000000006</v>
      </c>
      <c r="F8" s="4">
        <v>50900.1</v>
      </c>
      <c r="G8" s="4">
        <v>52545.599999999999</v>
      </c>
      <c r="H8" s="4">
        <v>301362.90000000002</v>
      </c>
    </row>
    <row r="9" spans="2:8" x14ac:dyDescent="0.25">
      <c r="B9" s="2">
        <v>2024</v>
      </c>
      <c r="C9" s="4">
        <v>60159.15</v>
      </c>
      <c r="D9" s="4">
        <v>57547.25</v>
      </c>
      <c r="E9" s="4">
        <v>61134.9</v>
      </c>
      <c r="F9" s="4">
        <v>54925.7</v>
      </c>
      <c r="G9" s="4">
        <v>83516.7</v>
      </c>
      <c r="H9" s="4">
        <v>317283.7</v>
      </c>
    </row>
    <row r="10" spans="2:8" x14ac:dyDescent="0.25">
      <c r="B10" s="2" t="s">
        <v>6</v>
      </c>
      <c r="C10" s="4">
        <v>330487.90000000002</v>
      </c>
      <c r="D10" s="4">
        <v>327253.65000000002</v>
      </c>
      <c r="E10" s="4">
        <v>331240.95</v>
      </c>
      <c r="F10" s="4">
        <v>304210.25</v>
      </c>
      <c r="G10" s="4">
        <v>325937.3</v>
      </c>
      <c r="H10" s="4">
        <v>1619130.05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32495-495C-4AE6-A22D-12B4F21C2C44}">
  <dimension ref="B1:C19"/>
  <sheetViews>
    <sheetView topLeftCell="B1" zoomScale="85" zoomScaleNormal="85" workbookViewId="0">
      <selection activeCell="C6" sqref="C6"/>
    </sheetView>
  </sheetViews>
  <sheetFormatPr defaultRowHeight="15" x14ac:dyDescent="0.25"/>
  <cols>
    <col min="2" max="2" width="20.85546875" bestFit="1" customWidth="1"/>
    <col min="3" max="4" width="10.7109375" bestFit="1" customWidth="1"/>
    <col min="5" max="5" width="9.5703125" bestFit="1" customWidth="1"/>
    <col min="6" max="6" width="10.85546875" bestFit="1" customWidth="1"/>
    <col min="7" max="8" width="11.28515625" bestFit="1" customWidth="1"/>
  </cols>
  <sheetData>
    <row r="1" spans="2:3" x14ac:dyDescent="0.25">
      <c r="B1" s="1" t="s">
        <v>7</v>
      </c>
      <c r="C1" t="s" vm="2">
        <v>8</v>
      </c>
    </row>
    <row r="3" spans="2:3" x14ac:dyDescent="0.25">
      <c r="B3" s="1" t="s">
        <v>29</v>
      </c>
      <c r="C3" t="s">
        <v>30</v>
      </c>
    </row>
    <row r="4" spans="2:3" x14ac:dyDescent="0.25">
      <c r="B4" s="2" t="s">
        <v>16</v>
      </c>
      <c r="C4" s="7"/>
    </row>
    <row r="5" spans="2:3" x14ac:dyDescent="0.25">
      <c r="B5" s="3" t="s">
        <v>14</v>
      </c>
      <c r="C5" s="7"/>
    </row>
    <row r="6" spans="2:3" x14ac:dyDescent="0.25">
      <c r="B6" s="5" t="s">
        <v>11</v>
      </c>
      <c r="C6" s="4">
        <v>285050.25</v>
      </c>
    </row>
    <row r="7" spans="2:3" x14ac:dyDescent="0.25">
      <c r="B7" s="2" t="s">
        <v>17</v>
      </c>
      <c r="C7" s="7"/>
    </row>
    <row r="8" spans="2:3" x14ac:dyDescent="0.25">
      <c r="B8" s="3" t="s">
        <v>14</v>
      </c>
      <c r="C8" s="7"/>
    </row>
    <row r="9" spans="2:3" x14ac:dyDescent="0.25">
      <c r="B9" s="5" t="s">
        <v>11</v>
      </c>
      <c r="C9" s="4">
        <v>238421.25</v>
      </c>
    </row>
    <row r="10" spans="2:3" x14ac:dyDescent="0.25">
      <c r="B10" s="2" t="s">
        <v>18</v>
      </c>
      <c r="C10" s="7"/>
    </row>
    <row r="11" spans="2:3" x14ac:dyDescent="0.25">
      <c r="B11" s="3" t="s">
        <v>14</v>
      </c>
      <c r="C11" s="7"/>
    </row>
    <row r="12" spans="2:3" x14ac:dyDescent="0.25">
      <c r="B12" s="5" t="s">
        <v>11</v>
      </c>
      <c r="C12" s="4">
        <v>265513.25</v>
      </c>
    </row>
    <row r="13" spans="2:3" x14ac:dyDescent="0.25">
      <c r="B13" s="2" t="s">
        <v>19</v>
      </c>
      <c r="C13" s="7"/>
    </row>
    <row r="14" spans="2:3" x14ac:dyDescent="0.25">
      <c r="B14" s="3" t="s">
        <v>14</v>
      </c>
      <c r="C14" s="7"/>
    </row>
    <row r="15" spans="2:3" x14ac:dyDescent="0.25">
      <c r="B15" s="5" t="s">
        <v>11</v>
      </c>
      <c r="C15" s="4">
        <v>257450.35</v>
      </c>
    </row>
    <row r="16" spans="2:3" x14ac:dyDescent="0.25">
      <c r="B16" s="2" t="s">
        <v>20</v>
      </c>
      <c r="C16" s="7"/>
    </row>
    <row r="17" spans="2:3" x14ac:dyDescent="0.25">
      <c r="B17" s="3" t="s">
        <v>14</v>
      </c>
      <c r="C17" s="7"/>
    </row>
    <row r="18" spans="2:3" x14ac:dyDescent="0.25">
      <c r="B18" s="5" t="s">
        <v>11</v>
      </c>
      <c r="C18" s="4">
        <v>251364.55</v>
      </c>
    </row>
    <row r="19" spans="2:3" x14ac:dyDescent="0.25">
      <c r="B19" s="2" t="s">
        <v>6</v>
      </c>
      <c r="C19" s="4">
        <v>1297799.6499999999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950E-C739-456E-9315-2A32AA4C0252}">
  <dimension ref="B1:C16"/>
  <sheetViews>
    <sheetView workbookViewId="0">
      <selection activeCell="H20" sqref="H20"/>
    </sheetView>
  </sheetViews>
  <sheetFormatPr defaultRowHeight="15" x14ac:dyDescent="0.25"/>
  <cols>
    <col min="2" max="2" width="11.28515625" bestFit="1" customWidth="1"/>
    <col min="3" max="3" width="12.85546875" bestFit="1" customWidth="1"/>
    <col min="4" max="4" width="8" bestFit="1" customWidth="1"/>
    <col min="5" max="5" width="10.42578125" bestFit="1" customWidth="1"/>
    <col min="6" max="6" width="10" bestFit="1" customWidth="1"/>
    <col min="7" max="8" width="9" bestFit="1" customWidth="1"/>
    <col min="9" max="10" width="8" bestFit="1" customWidth="1"/>
    <col min="11" max="11" width="10" bestFit="1" customWidth="1"/>
    <col min="12" max="12" width="10.42578125" bestFit="1" customWidth="1"/>
    <col min="13" max="13" width="10" bestFit="1" customWidth="1"/>
    <col min="14" max="14" width="11" bestFit="1" customWidth="1"/>
    <col min="15" max="15" width="11.28515625" bestFit="1" customWidth="1"/>
    <col min="16" max="16" width="9" bestFit="1" customWidth="1"/>
    <col min="17" max="17" width="10" bestFit="1" customWidth="1"/>
    <col min="18" max="18" width="11.28515625" bestFit="1" customWidth="1"/>
  </cols>
  <sheetData>
    <row r="1" spans="2:3" x14ac:dyDescent="0.25">
      <c r="B1" s="1" t="s">
        <v>7</v>
      </c>
      <c r="C1" t="s" vm="1">
        <v>8</v>
      </c>
    </row>
    <row r="3" spans="2:3" x14ac:dyDescent="0.25">
      <c r="B3" s="1" t="s">
        <v>23</v>
      </c>
      <c r="C3" t="s">
        <v>22</v>
      </c>
    </row>
    <row r="4" spans="2:3" x14ac:dyDescent="0.25">
      <c r="B4" s="2" t="s">
        <v>35</v>
      </c>
      <c r="C4" s="7">
        <v>118288.1</v>
      </c>
    </row>
    <row r="5" spans="2:3" x14ac:dyDescent="0.25">
      <c r="B5" s="2" t="s">
        <v>34</v>
      </c>
      <c r="C5" s="7">
        <v>63244.7</v>
      </c>
    </row>
    <row r="6" spans="2:3" x14ac:dyDescent="0.25">
      <c r="B6" s="2" t="s">
        <v>38</v>
      </c>
      <c r="C6" s="7">
        <v>145783.9</v>
      </c>
    </row>
    <row r="7" spans="2:3" x14ac:dyDescent="0.25">
      <c r="B7" s="2" t="s">
        <v>31</v>
      </c>
      <c r="C7" s="7">
        <v>164772.1</v>
      </c>
    </row>
    <row r="8" spans="2:3" x14ac:dyDescent="0.25">
      <c r="B8" s="2" t="s">
        <v>21</v>
      </c>
      <c r="C8" s="7">
        <v>127353.85</v>
      </c>
    </row>
    <row r="9" spans="2:3" x14ac:dyDescent="0.25">
      <c r="B9" s="2" t="s">
        <v>37</v>
      </c>
      <c r="C9" s="7">
        <v>130332.35</v>
      </c>
    </row>
    <row r="10" spans="2:3" x14ac:dyDescent="0.25">
      <c r="B10" s="2" t="s">
        <v>36</v>
      </c>
      <c r="C10" s="7">
        <v>68927.95</v>
      </c>
    </row>
    <row r="11" spans="2:3" x14ac:dyDescent="0.25">
      <c r="B11" s="2" t="s">
        <v>32</v>
      </c>
      <c r="C11" s="7">
        <v>89062</v>
      </c>
    </row>
    <row r="12" spans="2:3" x14ac:dyDescent="0.25">
      <c r="B12" s="2" t="s">
        <v>41</v>
      </c>
      <c r="C12" s="7">
        <v>127639.1</v>
      </c>
    </row>
    <row r="13" spans="2:3" x14ac:dyDescent="0.25">
      <c r="B13" s="2" t="s">
        <v>40</v>
      </c>
      <c r="C13" s="7">
        <v>141124.15</v>
      </c>
    </row>
    <row r="14" spans="2:3" x14ac:dyDescent="0.25">
      <c r="B14" s="2" t="s">
        <v>39</v>
      </c>
      <c r="C14" s="7">
        <v>123135.5</v>
      </c>
    </row>
    <row r="15" spans="2:3" x14ac:dyDescent="0.25">
      <c r="B15" s="2" t="s">
        <v>33</v>
      </c>
      <c r="C15" s="7">
        <v>117802.05</v>
      </c>
    </row>
    <row r="16" spans="2:3" x14ac:dyDescent="0.25">
      <c r="B16" s="2" t="s">
        <v>6</v>
      </c>
      <c r="C16" s="7">
        <v>1417465.75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4C92-B43D-4BC9-AA6C-FB08F33BBDCD}">
  <dimension ref="B1:F40"/>
  <sheetViews>
    <sheetView zoomScale="85" zoomScaleNormal="85" workbookViewId="0">
      <selection activeCell="I20" sqref="I20"/>
    </sheetView>
  </sheetViews>
  <sheetFormatPr defaultRowHeight="15" x14ac:dyDescent="0.25"/>
  <cols>
    <col min="2" max="2" width="15.5703125" bestFit="1" customWidth="1"/>
    <col min="3" max="3" width="16.85546875" bestFit="1" customWidth="1"/>
    <col min="4" max="4" width="11.28515625" bestFit="1" customWidth="1"/>
    <col min="5" max="5" width="15.7109375" bestFit="1" customWidth="1"/>
    <col min="6" max="6" width="15.85546875" bestFit="1" customWidth="1"/>
    <col min="7" max="7" width="11.7109375" bestFit="1" customWidth="1"/>
    <col min="8" max="8" width="11.28515625" bestFit="1" customWidth="1"/>
    <col min="9" max="9" width="11.5703125" bestFit="1" customWidth="1"/>
    <col min="10" max="10" width="10.7109375" bestFit="1" customWidth="1"/>
    <col min="11" max="11" width="11.7109375" bestFit="1" customWidth="1"/>
    <col min="12" max="12" width="10.7109375" bestFit="1" customWidth="1"/>
    <col min="13" max="13" width="15.85546875" bestFit="1" customWidth="1"/>
    <col min="14" max="14" width="15.7109375" bestFit="1" customWidth="1"/>
  </cols>
  <sheetData>
    <row r="1" spans="2:4" x14ac:dyDescent="0.25">
      <c r="B1" s="1" t="s">
        <v>24</v>
      </c>
      <c r="C1" t="s" vm="3">
        <v>26</v>
      </c>
    </row>
    <row r="2" spans="2:4" x14ac:dyDescent="0.25">
      <c r="B2" s="1" t="s">
        <v>25</v>
      </c>
      <c r="C2" t="s" vm="4">
        <v>27</v>
      </c>
    </row>
    <row r="4" spans="2:4" x14ac:dyDescent="0.25">
      <c r="B4" s="1" t="s">
        <v>15</v>
      </c>
      <c r="C4" s="1" t="s">
        <v>29</v>
      </c>
    </row>
    <row r="5" spans="2:4" x14ac:dyDescent="0.25">
      <c r="B5" s="1" t="s">
        <v>42</v>
      </c>
      <c r="C5" t="s">
        <v>19</v>
      </c>
      <c r="D5" t="s">
        <v>6</v>
      </c>
    </row>
    <row r="6" spans="2:4" x14ac:dyDescent="0.25">
      <c r="B6" s="2" t="s">
        <v>9</v>
      </c>
      <c r="C6" s="4">
        <v>26454.25</v>
      </c>
      <c r="D6" s="4">
        <v>26454.25</v>
      </c>
    </row>
    <row r="7" spans="2:4" x14ac:dyDescent="0.25">
      <c r="B7" s="2" t="s">
        <v>10</v>
      </c>
      <c r="C7" s="4">
        <v>23282.9</v>
      </c>
      <c r="D7" s="4">
        <v>23282.9</v>
      </c>
    </row>
    <row r="8" spans="2:4" x14ac:dyDescent="0.25">
      <c r="B8" s="2" t="s">
        <v>11</v>
      </c>
      <c r="C8" s="4">
        <v>31486.95</v>
      </c>
      <c r="D8" s="4">
        <v>31486.95</v>
      </c>
    </row>
    <row r="9" spans="2:4" x14ac:dyDescent="0.25">
      <c r="B9" s="2" t="s">
        <v>12</v>
      </c>
      <c r="C9" s="4">
        <v>18003.150000000001</v>
      </c>
      <c r="D9" s="4">
        <v>18003.150000000001</v>
      </c>
    </row>
    <row r="10" spans="2:4" x14ac:dyDescent="0.25">
      <c r="B10" s="2" t="s">
        <v>13</v>
      </c>
      <c r="C10" s="4">
        <v>27763.55</v>
      </c>
      <c r="D10" s="4">
        <v>27763.55</v>
      </c>
    </row>
    <row r="11" spans="2:4" x14ac:dyDescent="0.25">
      <c r="B11" s="2" t="s">
        <v>6</v>
      </c>
      <c r="C11" s="4">
        <v>126990.8</v>
      </c>
      <c r="D11" s="4">
        <v>126990.8</v>
      </c>
    </row>
    <row r="12" spans="2:4" x14ac:dyDescent="0.25">
      <c r="B12" s="2" t="s">
        <v>45</v>
      </c>
    </row>
    <row r="30" spans="2:6" x14ac:dyDescent="0.25">
      <c r="B30" s="1" t="s">
        <v>24</v>
      </c>
      <c r="C30" t="s" vm="3">
        <v>26</v>
      </c>
      <c r="F30" s="8" t="s">
        <v>46</v>
      </c>
    </row>
    <row r="31" spans="2:6" x14ac:dyDescent="0.25">
      <c r="B31" s="1" t="s">
        <v>25</v>
      </c>
      <c r="C31" t="s" vm="7">
        <v>47</v>
      </c>
    </row>
    <row r="33" spans="2:4" x14ac:dyDescent="0.25">
      <c r="B33" s="1" t="s">
        <v>15</v>
      </c>
      <c r="C33" s="1" t="s">
        <v>44</v>
      </c>
    </row>
    <row r="34" spans="2:4" x14ac:dyDescent="0.25">
      <c r="B34" s="1" t="s">
        <v>0</v>
      </c>
      <c r="C34" t="s">
        <v>19</v>
      </c>
      <c r="D34" t="s">
        <v>6</v>
      </c>
    </row>
    <row r="35" spans="2:4" x14ac:dyDescent="0.25">
      <c r="B35" s="2" t="s">
        <v>9</v>
      </c>
      <c r="C35" s="4">
        <v>25998.3</v>
      </c>
      <c r="D35" s="4">
        <v>25998.3</v>
      </c>
    </row>
    <row r="36" spans="2:4" x14ac:dyDescent="0.25">
      <c r="B36" s="2" t="s">
        <v>10</v>
      </c>
      <c r="C36" s="4">
        <v>29825.1</v>
      </c>
      <c r="D36" s="4">
        <v>29825.1</v>
      </c>
    </row>
    <row r="37" spans="2:4" x14ac:dyDescent="0.25">
      <c r="B37" s="2" t="s">
        <v>11</v>
      </c>
      <c r="C37" s="4">
        <v>15477.6</v>
      </c>
      <c r="D37" s="4">
        <v>15477.6</v>
      </c>
    </row>
    <row r="38" spans="2:4" x14ac:dyDescent="0.25">
      <c r="B38" s="2" t="s">
        <v>12</v>
      </c>
      <c r="C38" s="4">
        <v>21615.599999999999</v>
      </c>
      <c r="D38" s="4">
        <v>21615.599999999999</v>
      </c>
    </row>
    <row r="39" spans="2:4" x14ac:dyDescent="0.25">
      <c r="B39" s="2" t="s">
        <v>13</v>
      </c>
      <c r="C39" s="4">
        <v>23015.4</v>
      </c>
      <c r="D39" s="4">
        <v>23015.4</v>
      </c>
    </row>
    <row r="40" spans="2:4" x14ac:dyDescent="0.25">
      <c r="B40" s="2" t="s">
        <v>6</v>
      </c>
      <c r="C40" s="4">
        <v>115932</v>
      </c>
      <c r="D40" s="4">
        <v>115932</v>
      </c>
    </row>
  </sheetData>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546EE-8F8C-424F-A19C-B6E3972AAB33}">
  <dimension ref="B1:C9"/>
  <sheetViews>
    <sheetView workbookViewId="0">
      <selection activeCell="B7" sqref="B4:B8"/>
      <pivotSelection pane="bottomRight" showHeader="1" axis="axisRow" activeRow="6" activeCol="1" previousRow="6" previousCol="1" click="1" r:id="rId1">
        <pivotArea dataOnly="0" labelOnly="1" fieldPosition="0">
          <references count="1">
            <reference field="0" count="0"/>
          </references>
        </pivotArea>
      </pivotSelection>
    </sheetView>
  </sheetViews>
  <sheetFormatPr defaultRowHeight="15" x14ac:dyDescent="0.25"/>
  <cols>
    <col min="2" max="2" width="12.42578125" bestFit="1" customWidth="1"/>
    <col min="3" max="3" width="10.85546875" bestFit="1" customWidth="1"/>
  </cols>
  <sheetData>
    <row r="1" spans="2:3" x14ac:dyDescent="0.25">
      <c r="B1" s="1" t="s">
        <v>24</v>
      </c>
      <c r="C1" t="s" vm="3">
        <v>26</v>
      </c>
    </row>
    <row r="3" spans="2:3" x14ac:dyDescent="0.25">
      <c r="B3" s="1" t="s">
        <v>42</v>
      </c>
      <c r="C3" t="s">
        <v>15</v>
      </c>
    </row>
    <row r="4" spans="2:3" x14ac:dyDescent="0.25">
      <c r="B4" s="2" t="s">
        <v>9</v>
      </c>
      <c r="C4" s="4">
        <v>65061.05</v>
      </c>
    </row>
    <row r="5" spans="2:3" x14ac:dyDescent="0.25">
      <c r="B5" s="2" t="s">
        <v>10</v>
      </c>
      <c r="C5" s="4">
        <v>69830.75</v>
      </c>
    </row>
    <row r="6" spans="2:3" x14ac:dyDescent="0.25">
      <c r="B6" s="2" t="s">
        <v>11</v>
      </c>
      <c r="C6" s="4">
        <v>59067.55</v>
      </c>
    </row>
    <row r="7" spans="2:3" x14ac:dyDescent="0.25">
      <c r="B7" s="2" t="s">
        <v>12</v>
      </c>
      <c r="C7" s="4">
        <v>65754.75</v>
      </c>
    </row>
    <row r="8" spans="2:3" x14ac:dyDescent="0.25">
      <c r="B8" s="2" t="s">
        <v>13</v>
      </c>
      <c r="C8" s="4">
        <v>66223.199999999997</v>
      </c>
    </row>
    <row r="9" spans="2:3" x14ac:dyDescent="0.25">
      <c r="B9" s="2" t="s">
        <v>6</v>
      </c>
      <c r="C9" s="4">
        <v>325937.3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6264-6334-4E98-AAF5-25D7C46D3539}">
  <dimension ref="B1:H10"/>
  <sheetViews>
    <sheetView zoomScale="85" zoomScaleNormal="85" workbookViewId="0">
      <selection activeCell="I20" sqref="I20"/>
    </sheetView>
  </sheetViews>
  <sheetFormatPr defaultRowHeight="15" x14ac:dyDescent="0.25"/>
  <cols>
    <col min="2" max="2" width="14.5703125" bestFit="1" customWidth="1"/>
    <col min="3" max="3" width="16.85546875" bestFit="1" customWidth="1"/>
    <col min="4" max="4" width="9.5703125" bestFit="1" customWidth="1"/>
    <col min="5" max="5" width="19" bestFit="1" customWidth="1"/>
    <col min="6" max="6" width="11.5703125" bestFit="1" customWidth="1"/>
    <col min="7" max="7" width="11.7109375" bestFit="1" customWidth="1"/>
    <col min="8" max="8" width="11.28515625" bestFit="1" customWidth="1"/>
  </cols>
  <sheetData>
    <row r="1" spans="2:8" x14ac:dyDescent="0.25">
      <c r="B1" s="1" t="s">
        <v>7</v>
      </c>
      <c r="C1" t="s" vm="2">
        <v>8</v>
      </c>
    </row>
    <row r="3" spans="2:8" x14ac:dyDescent="0.25">
      <c r="B3" s="1" t="s">
        <v>28</v>
      </c>
      <c r="C3" s="1" t="s">
        <v>29</v>
      </c>
    </row>
    <row r="4" spans="2:8" x14ac:dyDescent="0.25">
      <c r="B4" s="1" t="s">
        <v>42</v>
      </c>
      <c r="C4" t="s">
        <v>16</v>
      </c>
      <c r="D4" t="s">
        <v>17</v>
      </c>
      <c r="E4" t="s">
        <v>18</v>
      </c>
      <c r="F4" t="s">
        <v>19</v>
      </c>
      <c r="G4" t="s">
        <v>20</v>
      </c>
      <c r="H4" t="s">
        <v>6</v>
      </c>
    </row>
    <row r="5" spans="2:8" x14ac:dyDescent="0.25">
      <c r="B5" s="2" t="s">
        <v>13</v>
      </c>
      <c r="C5" s="6">
        <v>0.24820428840971603</v>
      </c>
      <c r="D5" s="6">
        <v>0.2500120586697735</v>
      </c>
      <c r="E5" s="6">
        <v>0.23341905308418967</v>
      </c>
      <c r="F5" s="6">
        <v>0.2471780439464461</v>
      </c>
      <c r="G5" s="6">
        <v>0.24310796021907274</v>
      </c>
      <c r="H5" s="6">
        <v>0.24419112066728949</v>
      </c>
    </row>
    <row r="6" spans="2:8" x14ac:dyDescent="0.25">
      <c r="B6" s="2" t="s">
        <v>9</v>
      </c>
      <c r="C6" s="6">
        <v>0.24359182740157426</v>
      </c>
      <c r="D6" s="6">
        <v>0.25214734796267985</v>
      </c>
      <c r="E6" s="6">
        <v>0.24113480107328589</v>
      </c>
      <c r="F6" s="6">
        <v>0.24443773184531539</v>
      </c>
      <c r="G6" s="6">
        <v>0.24836616636313855</v>
      </c>
      <c r="H6" s="6">
        <v>0.24643996599340837</v>
      </c>
    </row>
    <row r="7" spans="2:8" x14ac:dyDescent="0.25">
      <c r="B7" s="2" t="s">
        <v>12</v>
      </c>
      <c r="C7" s="6">
        <v>0.23981662968086326</v>
      </c>
      <c r="D7" s="6">
        <v>0.2545319073520082</v>
      </c>
      <c r="E7" s="6">
        <v>0.24790841819360313</v>
      </c>
      <c r="F7" s="6">
        <v>0.25050206320691482</v>
      </c>
      <c r="G7" s="6">
        <v>0.24321502676068574</v>
      </c>
      <c r="H7" s="6">
        <v>0.24744248649157838</v>
      </c>
    </row>
    <row r="8" spans="2:8" x14ac:dyDescent="0.25">
      <c r="B8" s="2" t="s">
        <v>11</v>
      </c>
      <c r="C8" s="6">
        <v>0.23584280315488235</v>
      </c>
      <c r="D8" s="6">
        <v>0.24048548524932237</v>
      </c>
      <c r="E8" s="6">
        <v>0.24085822458954498</v>
      </c>
      <c r="F8" s="6">
        <v>0.22943278189367389</v>
      </c>
      <c r="G8" s="6">
        <v>0.24492375714873083</v>
      </c>
      <c r="H8" s="6">
        <v>0.23820907179316933</v>
      </c>
    </row>
    <row r="9" spans="2:8" x14ac:dyDescent="0.25">
      <c r="B9" s="2" t="s">
        <v>10</v>
      </c>
      <c r="C9" s="6">
        <v>0.23277344867174227</v>
      </c>
      <c r="D9" s="6">
        <v>0.23393870969484493</v>
      </c>
      <c r="E9" s="6">
        <v>0.24903883159430881</v>
      </c>
      <c r="F9" s="6">
        <v>0.25179564278864558</v>
      </c>
      <c r="G9" s="6">
        <v>0.23405342514207</v>
      </c>
      <c r="H9" s="6">
        <v>0.23992866584721667</v>
      </c>
    </row>
    <row r="10" spans="2:8" x14ac:dyDescent="0.25">
      <c r="B10" s="2" t="s">
        <v>6</v>
      </c>
      <c r="C10" s="6">
        <v>0.24009776510542011</v>
      </c>
      <c r="D10" s="6">
        <v>0.24661281132183041</v>
      </c>
      <c r="E10" s="6">
        <v>0.24175958010589141</v>
      </c>
      <c r="F10" s="6">
        <v>0.24481596362927313</v>
      </c>
      <c r="G10" s="6">
        <v>0.24309104450507679</v>
      </c>
      <c r="H10" s="6">
        <v>0.24328048182615011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B293-A1FC-442F-AD95-44EF5E682076}">
  <dimension ref="B3:H10"/>
  <sheetViews>
    <sheetView workbookViewId="0">
      <selection activeCell="C5" sqref="C5"/>
    </sheetView>
  </sheetViews>
  <sheetFormatPr defaultRowHeight="15" x14ac:dyDescent="0.25"/>
  <cols>
    <col min="2" max="2" width="13.42578125" bestFit="1" customWidth="1"/>
    <col min="3" max="3" width="16.85546875" bestFit="1" customWidth="1"/>
    <col min="4" max="4" width="9.5703125" bestFit="1" customWidth="1"/>
    <col min="5" max="5" width="19" bestFit="1" customWidth="1"/>
    <col min="6" max="6" width="11.5703125" bestFit="1" customWidth="1"/>
    <col min="7" max="7" width="11.7109375" bestFit="1" customWidth="1"/>
    <col min="8" max="8" width="11.28515625" bestFit="1" customWidth="1"/>
    <col min="9" max="9" width="9.5703125" bestFit="1" customWidth="1"/>
    <col min="10" max="10" width="19" bestFit="1" customWidth="1"/>
    <col min="11" max="11" width="11.5703125" bestFit="1" customWidth="1"/>
    <col min="12" max="12" width="11.7109375" bestFit="1" customWidth="1"/>
    <col min="13" max="13" width="15.7109375" bestFit="1" customWidth="1"/>
    <col min="14" max="14" width="15.85546875" bestFit="1" customWidth="1"/>
  </cols>
  <sheetData>
    <row r="3" spans="2:8" x14ac:dyDescent="0.25">
      <c r="B3" s="1" t="s">
        <v>15</v>
      </c>
      <c r="C3" s="1" t="s">
        <v>44</v>
      </c>
    </row>
    <row r="4" spans="2:8" x14ac:dyDescent="0.25">
      <c r="B4" s="1" t="s">
        <v>0</v>
      </c>
      <c r="C4" t="s">
        <v>16</v>
      </c>
      <c r="D4" t="s">
        <v>17</v>
      </c>
      <c r="E4" t="s">
        <v>18</v>
      </c>
      <c r="F4" t="s">
        <v>19</v>
      </c>
      <c r="G4" t="s">
        <v>20</v>
      </c>
      <c r="H4" t="s">
        <v>6</v>
      </c>
    </row>
    <row r="5" spans="2:8" x14ac:dyDescent="0.25">
      <c r="B5" s="2">
        <v>2020</v>
      </c>
      <c r="C5" s="4">
        <v>61319.15</v>
      </c>
      <c r="D5" s="4">
        <v>63466.95</v>
      </c>
      <c r="E5" s="4">
        <v>64814.45</v>
      </c>
      <c r="F5" s="4">
        <v>78394.2</v>
      </c>
      <c r="G5" s="4">
        <v>59336.3</v>
      </c>
      <c r="H5" s="4">
        <v>327331.05</v>
      </c>
    </row>
    <row r="6" spans="2:8" x14ac:dyDescent="0.25">
      <c r="B6" s="2">
        <v>2021</v>
      </c>
      <c r="C6" s="4">
        <v>77935.100000000006</v>
      </c>
      <c r="D6" s="4">
        <v>66329.100000000006</v>
      </c>
      <c r="E6" s="4">
        <v>65027.45</v>
      </c>
      <c r="F6" s="4">
        <v>55183.15</v>
      </c>
      <c r="G6" s="4">
        <v>74437.8</v>
      </c>
      <c r="H6" s="4">
        <v>338912.6</v>
      </c>
    </row>
    <row r="7" spans="2:8" x14ac:dyDescent="0.25">
      <c r="B7" s="2">
        <v>2022</v>
      </c>
      <c r="C7" s="4">
        <v>64083.45</v>
      </c>
      <c r="D7" s="4">
        <v>80107.55</v>
      </c>
      <c r="E7" s="4">
        <v>68542.55</v>
      </c>
      <c r="F7" s="4">
        <v>56297.65</v>
      </c>
      <c r="G7" s="4">
        <v>65208.6</v>
      </c>
      <c r="H7" s="4">
        <v>334239.8</v>
      </c>
    </row>
    <row r="8" spans="2:8" x14ac:dyDescent="0.25">
      <c r="B8" s="2">
        <v>2023</v>
      </c>
      <c r="C8" s="4">
        <v>66368.7</v>
      </c>
      <c r="D8" s="4">
        <v>60425.15</v>
      </c>
      <c r="E8" s="4">
        <v>50900.1</v>
      </c>
      <c r="F8" s="4">
        <v>52545.599999999999</v>
      </c>
      <c r="G8" s="4">
        <v>71123.350000000006</v>
      </c>
      <c r="H8" s="4">
        <v>301362.90000000002</v>
      </c>
    </row>
    <row r="9" spans="2:8" x14ac:dyDescent="0.25">
      <c r="B9" s="2">
        <v>2024</v>
      </c>
      <c r="C9" s="4">
        <v>57547.25</v>
      </c>
      <c r="D9" s="4">
        <v>60159.15</v>
      </c>
      <c r="E9" s="4">
        <v>54925.7</v>
      </c>
      <c r="F9" s="4">
        <v>83516.7</v>
      </c>
      <c r="G9" s="4">
        <v>61134.9</v>
      </c>
      <c r="H9" s="4">
        <v>317283.7</v>
      </c>
    </row>
    <row r="10" spans="2:8" x14ac:dyDescent="0.25">
      <c r="B10" s="2" t="s">
        <v>6</v>
      </c>
      <c r="C10" s="4">
        <v>327253.65000000002</v>
      </c>
      <c r="D10" s="4">
        <v>330487.90000000002</v>
      </c>
      <c r="E10" s="4">
        <v>304210.25</v>
      </c>
      <c r="F10" s="4">
        <v>325937.3</v>
      </c>
      <c r="G10" s="4">
        <v>331240.95</v>
      </c>
      <c r="H10" s="4">
        <v>1619130.05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6519-19F1-4BED-A0FD-774C2E67185B}">
  <dimension ref="B1:H11"/>
  <sheetViews>
    <sheetView topLeftCell="A8" zoomScale="85" zoomScaleNormal="85" workbookViewId="0">
      <selection activeCell="I16" sqref="I16"/>
    </sheetView>
  </sheetViews>
  <sheetFormatPr defaultRowHeight="15" x14ac:dyDescent="0.25"/>
  <cols>
    <col min="2" max="2" width="11.28515625" bestFit="1" customWidth="1"/>
    <col min="3" max="3" width="12.5703125" bestFit="1" customWidth="1"/>
    <col min="4" max="4" width="11.42578125" bestFit="1" customWidth="1"/>
    <col min="5" max="5" width="10.140625" bestFit="1" customWidth="1"/>
    <col min="6" max="6" width="11.28515625" bestFit="1" customWidth="1"/>
    <col min="7" max="7" width="9.5703125" bestFit="1" customWidth="1"/>
    <col min="8" max="8" width="11.28515625" bestFit="1" customWidth="1"/>
  </cols>
  <sheetData>
    <row r="1" spans="2:8" x14ac:dyDescent="0.25">
      <c r="B1" s="1" t="s">
        <v>43</v>
      </c>
      <c r="C1" t="s" vm="5">
        <v>8</v>
      </c>
    </row>
    <row r="2" spans="2:8" x14ac:dyDescent="0.25">
      <c r="B2" s="1" t="s">
        <v>24</v>
      </c>
      <c r="C2" t="s" vm="6">
        <v>8</v>
      </c>
    </row>
    <row r="4" spans="2:8" x14ac:dyDescent="0.25">
      <c r="B4" s="1" t="s">
        <v>15</v>
      </c>
      <c r="C4" s="1" t="s">
        <v>42</v>
      </c>
    </row>
    <row r="5" spans="2:8" x14ac:dyDescent="0.25">
      <c r="B5" s="1" t="s">
        <v>7</v>
      </c>
      <c r="C5" t="s">
        <v>9</v>
      </c>
      <c r="D5" t="s">
        <v>10</v>
      </c>
      <c r="E5" t="s">
        <v>11</v>
      </c>
      <c r="F5" t="s">
        <v>12</v>
      </c>
      <c r="G5" t="s">
        <v>13</v>
      </c>
      <c r="H5" t="s">
        <v>6</v>
      </c>
    </row>
    <row r="6" spans="2:8" x14ac:dyDescent="0.25">
      <c r="B6" s="2">
        <v>2020</v>
      </c>
      <c r="C6" s="4">
        <v>65787.3</v>
      </c>
      <c r="D6" s="4">
        <v>65268.85</v>
      </c>
      <c r="E6" s="4">
        <v>59936.45</v>
      </c>
      <c r="F6" s="4">
        <v>54763.55</v>
      </c>
      <c r="G6" s="4">
        <v>81574.899999999994</v>
      </c>
      <c r="H6" s="4">
        <v>327331.05</v>
      </c>
    </row>
    <row r="7" spans="2:8" x14ac:dyDescent="0.25">
      <c r="B7" s="2">
        <v>2021</v>
      </c>
      <c r="C7" s="4">
        <v>75401.95</v>
      </c>
      <c r="D7" s="4">
        <v>69339.25</v>
      </c>
      <c r="E7" s="4">
        <v>62783</v>
      </c>
      <c r="F7" s="4">
        <v>57267.3</v>
      </c>
      <c r="G7" s="4">
        <v>74121.100000000006</v>
      </c>
      <c r="H7" s="4">
        <v>338912.6</v>
      </c>
    </row>
    <row r="8" spans="2:8" x14ac:dyDescent="0.25">
      <c r="B8" s="2">
        <v>2022</v>
      </c>
      <c r="C8" s="4">
        <v>75460.600000000006</v>
      </c>
      <c r="D8" s="4">
        <v>65652.149999999994</v>
      </c>
      <c r="E8" s="4">
        <v>59776.65</v>
      </c>
      <c r="F8" s="4">
        <v>75513.3</v>
      </c>
      <c r="G8" s="4">
        <v>57837.1</v>
      </c>
      <c r="H8" s="4">
        <v>334239.8</v>
      </c>
    </row>
    <row r="9" spans="2:8" x14ac:dyDescent="0.25">
      <c r="B9" s="2">
        <v>2023</v>
      </c>
      <c r="C9" s="4">
        <v>62457.95</v>
      </c>
      <c r="D9" s="4">
        <v>49514.8</v>
      </c>
      <c r="E9" s="4">
        <v>61523.65</v>
      </c>
      <c r="F9" s="4">
        <v>63594.65</v>
      </c>
      <c r="G9" s="4">
        <v>64271.85</v>
      </c>
      <c r="H9" s="4">
        <v>301362.90000000002</v>
      </c>
    </row>
    <row r="10" spans="2:8" x14ac:dyDescent="0.25">
      <c r="B10" s="2">
        <v>2024</v>
      </c>
      <c r="C10" s="4">
        <v>68073.3</v>
      </c>
      <c r="D10" s="4">
        <v>59823.55</v>
      </c>
      <c r="E10" s="4">
        <v>65127.9</v>
      </c>
      <c r="F10" s="4">
        <v>55931.35</v>
      </c>
      <c r="G10" s="4">
        <v>68327.600000000006</v>
      </c>
      <c r="H10" s="4">
        <v>317283.7</v>
      </c>
    </row>
    <row r="11" spans="2:8" x14ac:dyDescent="0.25">
      <c r="B11" s="2" t="s">
        <v>6</v>
      </c>
      <c r="C11" s="4">
        <v>347181.1</v>
      </c>
      <c r="D11" s="4">
        <v>309598.59999999998</v>
      </c>
      <c r="E11" s="4">
        <v>309147.65000000002</v>
      </c>
      <c r="F11" s="4">
        <v>307070.15000000002</v>
      </c>
      <c r="G11" s="4">
        <v>346132.55</v>
      </c>
      <c r="H11" s="4">
        <v>1619130.05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AFE6-CB8B-468F-ACC4-9D0F8D9F4303}">
  <dimension ref="B2:G16"/>
  <sheetViews>
    <sheetView topLeftCell="A23" workbookViewId="0">
      <selection activeCell="I25" sqref="I25"/>
    </sheetView>
  </sheetViews>
  <sheetFormatPr defaultRowHeight="15" x14ac:dyDescent="0.25"/>
  <cols>
    <col min="2" max="2" width="11.28515625" bestFit="1" customWidth="1"/>
    <col min="3" max="3" width="16.85546875" bestFit="1" customWidth="1"/>
    <col min="4" max="5" width="9.5703125" bestFit="1" customWidth="1"/>
    <col min="6" max="6" width="10.85546875" bestFit="1" customWidth="1"/>
    <col min="7" max="7" width="11.28515625" bestFit="1" customWidth="1"/>
  </cols>
  <sheetData>
    <row r="2" spans="2:7" x14ac:dyDescent="0.25">
      <c r="B2" s="1" t="s">
        <v>15</v>
      </c>
      <c r="C2" s="1" t="s">
        <v>53</v>
      </c>
    </row>
    <row r="3" spans="2:7" x14ac:dyDescent="0.25">
      <c r="B3" s="1" t="s">
        <v>52</v>
      </c>
      <c r="C3" t="s">
        <v>49</v>
      </c>
      <c r="D3" t="s">
        <v>50</v>
      </c>
      <c r="E3" t="s">
        <v>51</v>
      </c>
      <c r="F3" t="s">
        <v>14</v>
      </c>
      <c r="G3" t="s">
        <v>6</v>
      </c>
    </row>
    <row r="4" spans="2:7" x14ac:dyDescent="0.25">
      <c r="B4" s="2" t="s">
        <v>35</v>
      </c>
      <c r="C4" s="4">
        <v>27650</v>
      </c>
      <c r="D4" s="4">
        <v>28742</v>
      </c>
      <c r="E4" s="4">
        <v>40260.35</v>
      </c>
      <c r="F4" s="4">
        <v>24175.45</v>
      </c>
      <c r="G4" s="4">
        <v>120827.8</v>
      </c>
    </row>
    <row r="5" spans="2:7" x14ac:dyDescent="0.25">
      <c r="B5" s="2" t="s">
        <v>34</v>
      </c>
      <c r="C5" s="4">
        <v>15546</v>
      </c>
      <c r="D5" s="4">
        <v>15360.9</v>
      </c>
      <c r="E5" s="4">
        <v>48240.55</v>
      </c>
      <c r="F5" s="4">
        <v>31249.75</v>
      </c>
      <c r="G5" s="4">
        <v>110397.2</v>
      </c>
    </row>
    <row r="6" spans="2:7" x14ac:dyDescent="0.25">
      <c r="B6" s="2" t="s">
        <v>38</v>
      </c>
      <c r="C6" s="4">
        <v>35937.1</v>
      </c>
      <c r="D6" s="4">
        <v>28938.1</v>
      </c>
      <c r="E6" s="4">
        <v>61142.8</v>
      </c>
      <c r="F6" s="4">
        <v>20958.400000000001</v>
      </c>
      <c r="G6" s="4">
        <v>146976.4</v>
      </c>
    </row>
    <row r="7" spans="2:7" x14ac:dyDescent="0.25">
      <c r="B7" s="2" t="s">
        <v>31</v>
      </c>
      <c r="C7" s="4">
        <v>41864.699999999997</v>
      </c>
      <c r="D7" s="4">
        <v>25467.599999999999</v>
      </c>
      <c r="E7" s="4">
        <v>50279.35</v>
      </c>
      <c r="F7" s="4">
        <v>29204.45</v>
      </c>
      <c r="G7" s="4">
        <v>146816.1</v>
      </c>
    </row>
    <row r="8" spans="2:7" x14ac:dyDescent="0.25">
      <c r="B8" s="2" t="s">
        <v>21</v>
      </c>
      <c r="C8" s="4">
        <v>31820.65</v>
      </c>
      <c r="D8" s="4">
        <v>19821</v>
      </c>
      <c r="E8" s="4">
        <v>64501.5</v>
      </c>
      <c r="F8" s="4">
        <v>31030.75</v>
      </c>
      <c r="G8" s="4">
        <v>147173.9</v>
      </c>
    </row>
    <row r="9" spans="2:7" x14ac:dyDescent="0.25">
      <c r="B9" s="2" t="s">
        <v>37</v>
      </c>
      <c r="C9" s="4">
        <v>31402.05</v>
      </c>
      <c r="D9" s="4">
        <v>23207.1</v>
      </c>
      <c r="E9" s="4">
        <v>44731.95</v>
      </c>
      <c r="F9" s="4">
        <v>18652.599999999999</v>
      </c>
      <c r="G9" s="4">
        <v>117993.7</v>
      </c>
    </row>
    <row r="10" spans="2:7" x14ac:dyDescent="0.25">
      <c r="B10" s="2" t="s">
        <v>36</v>
      </c>
      <c r="C10" s="4">
        <v>15352.75</v>
      </c>
      <c r="D10" s="4">
        <v>26563.75</v>
      </c>
      <c r="E10" s="4">
        <v>55911.05</v>
      </c>
      <c r="F10" s="4">
        <v>18417.45</v>
      </c>
      <c r="G10" s="4">
        <v>116245</v>
      </c>
    </row>
    <row r="11" spans="2:7" x14ac:dyDescent="0.25">
      <c r="B11" s="2" t="s">
        <v>32</v>
      </c>
      <c r="C11" s="4">
        <v>22831.5</v>
      </c>
      <c r="D11" s="4">
        <v>31109.4</v>
      </c>
      <c r="E11" s="4">
        <v>53575.45</v>
      </c>
      <c r="F11" s="4">
        <v>20617</v>
      </c>
      <c r="G11" s="4">
        <v>128133.35</v>
      </c>
    </row>
    <row r="12" spans="2:7" x14ac:dyDescent="0.25">
      <c r="B12" s="2" t="s">
        <v>41</v>
      </c>
      <c r="C12" s="4">
        <v>32477.599999999999</v>
      </c>
      <c r="D12" s="4">
        <v>14737.75</v>
      </c>
      <c r="E12" s="4">
        <v>56104.15</v>
      </c>
      <c r="F12" s="4">
        <v>29638.75</v>
      </c>
      <c r="G12" s="4">
        <v>132958.25</v>
      </c>
    </row>
    <row r="13" spans="2:7" x14ac:dyDescent="0.25">
      <c r="B13" s="2" t="s">
        <v>40</v>
      </c>
      <c r="C13" s="4">
        <v>34290.15</v>
      </c>
      <c r="D13" s="4">
        <v>29161.15</v>
      </c>
      <c r="E13" s="4">
        <v>64490.85</v>
      </c>
      <c r="F13" s="4">
        <v>27576.95</v>
      </c>
      <c r="G13" s="4">
        <v>155519.1</v>
      </c>
    </row>
    <row r="14" spans="2:7" x14ac:dyDescent="0.25">
      <c r="B14" s="2" t="s">
        <v>39</v>
      </c>
      <c r="C14" s="4">
        <v>28804.9</v>
      </c>
      <c r="D14" s="4">
        <v>28012.25</v>
      </c>
      <c r="E14" s="4">
        <v>65452</v>
      </c>
      <c r="F14" s="4">
        <v>29966.1</v>
      </c>
      <c r="G14" s="4">
        <v>152235.25</v>
      </c>
    </row>
    <row r="15" spans="2:7" x14ac:dyDescent="0.25">
      <c r="B15" s="2" t="s">
        <v>33</v>
      </c>
      <c r="C15" s="4">
        <v>28155.15</v>
      </c>
      <c r="D15" s="4">
        <v>35949.15</v>
      </c>
      <c r="E15" s="4">
        <v>52089.7</v>
      </c>
      <c r="F15" s="4">
        <v>27660</v>
      </c>
      <c r="G15" s="4">
        <v>143854</v>
      </c>
    </row>
    <row r="16" spans="2:7" x14ac:dyDescent="0.25">
      <c r="B16" s="2" t="s">
        <v>6</v>
      </c>
      <c r="C16" s="4">
        <v>346132.55</v>
      </c>
      <c r="D16" s="4">
        <v>307070.15000000002</v>
      </c>
      <c r="E16" s="4">
        <v>656779.69999999995</v>
      </c>
      <c r="F16" s="4">
        <v>309147.65000000002</v>
      </c>
      <c r="G16" s="4">
        <v>1619130.05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CAFA0A79-2EAF-4217-A34E-4A21954E6D96}">
  <ds:schemaRefs/>
</ds:datastoreItem>
</file>

<file path=customXml/itemProps2.xml><?xml version="1.0" encoding="utf-8"?>
<ds:datastoreItem xmlns:ds="http://schemas.openxmlformats.org/officeDocument/2006/customXml" ds:itemID="{F00970FE-79C9-40BD-AA31-DBA65E640E60}">
  <ds:schemaRefs/>
</ds:datastoreItem>
</file>

<file path=customXml/itemProps3.xml><?xml version="1.0" encoding="utf-8"?>
<ds:datastoreItem xmlns:ds="http://schemas.openxmlformats.org/officeDocument/2006/customXml" ds:itemID="{EF1AACF5-FB50-4C54-BFA0-D9EA85CFF301}">
  <ds:schemaRefs/>
</ds:datastoreItem>
</file>

<file path=customXml/itemProps4.xml><?xml version="1.0" encoding="utf-8"?>
<ds:datastoreItem xmlns:ds="http://schemas.openxmlformats.org/officeDocument/2006/customXml" ds:itemID="{30867CB1-38E2-4965-A3FF-B2BD22D58F36}">
  <ds:schemaRefs/>
</ds:datastoreItem>
</file>

<file path=customXml/itemProps5.xml><?xml version="1.0" encoding="utf-8"?>
<ds:datastoreItem xmlns:ds="http://schemas.openxmlformats.org/officeDocument/2006/customXml" ds:itemID="{23869CA6-57D1-49B4-9605-57FFC0367B83}">
  <ds:schemaRefs/>
</ds:datastoreItem>
</file>

<file path=customXml/itemProps6.xml><?xml version="1.0" encoding="utf-8"?>
<ds:datastoreItem xmlns:ds="http://schemas.openxmlformats.org/officeDocument/2006/customXml" ds:itemID="{70C3B955-20C0-4E26-80F4-98AEFF2AFF51}">
  <ds:schemaRefs/>
</ds:datastoreItem>
</file>

<file path=customXml/itemProps7.xml><?xml version="1.0" encoding="utf-8"?>
<ds:datastoreItem xmlns:ds="http://schemas.openxmlformats.org/officeDocument/2006/customXml" ds:itemID="{029E9C84-FA47-4259-A6D4-2D0F57B07588}">
  <ds:schemaRefs/>
</ds:datastoreItem>
</file>

<file path=customXml/itemProps8.xml><?xml version="1.0" encoding="utf-8"?>
<ds:datastoreItem xmlns:ds="http://schemas.openxmlformats.org/officeDocument/2006/customXml" ds:itemID="{4D6E32FF-B2CF-48D5-93AF-530C5B6C3CB2}">
  <ds:schemaRefs/>
</ds:datastoreItem>
</file>

<file path=customXml/itemProps9.xml><?xml version="1.0" encoding="utf-8"?>
<ds:datastoreItem xmlns:ds="http://schemas.openxmlformats.org/officeDocument/2006/customXml" ds:itemID="{B72FE53D-43A5-4CEA-8D1A-4BD17151DCAC}">
  <ds:schemaRefs/>
</ds:datastoreItem>
</file>

<file path=customXml/itemProps10.xml><?xml version="1.0" encoding="utf-8"?>
<ds:datastoreItem xmlns:ds="http://schemas.openxmlformats.org/officeDocument/2006/customXml" ds:itemID="{96CAB86B-B3C3-4D2E-A594-09E49923B611}">
  <ds:schemaRefs/>
</ds:datastoreItem>
</file>

<file path=customXml/itemProps11.xml><?xml version="1.0" encoding="utf-8"?>
<ds:datastoreItem xmlns:ds="http://schemas.openxmlformats.org/officeDocument/2006/customXml" ds:itemID="{AA9CE163-FAE2-4669-8C3D-623A61F4E05A}">
  <ds:schemaRefs/>
</ds:datastoreItem>
</file>

<file path=customXml/itemProps12.xml><?xml version="1.0" encoding="utf-8"?>
<ds:datastoreItem xmlns:ds="http://schemas.openxmlformats.org/officeDocument/2006/customXml" ds:itemID="{AC789090-A4B2-4A93-9918-BF1428F578DE}">
  <ds:schemaRefs/>
</ds:datastoreItem>
</file>

<file path=customXml/itemProps13.xml><?xml version="1.0" encoding="utf-8"?>
<ds:datastoreItem xmlns:ds="http://schemas.openxmlformats.org/officeDocument/2006/customXml" ds:itemID="{60E66BA5-F781-4C46-8E04-12D774AA057C}">
  <ds:schemaRefs/>
</ds:datastoreItem>
</file>

<file path=customXml/itemProps14.xml><?xml version="1.0" encoding="utf-8"?>
<ds:datastoreItem xmlns:ds="http://schemas.openxmlformats.org/officeDocument/2006/customXml" ds:itemID="{D67D46CA-A018-4785-99B8-A33B61FBAEF4}">
  <ds:schemaRefs/>
</ds:datastoreItem>
</file>

<file path=customXml/itemProps15.xml><?xml version="1.0" encoding="utf-8"?>
<ds:datastoreItem xmlns:ds="http://schemas.openxmlformats.org/officeDocument/2006/customXml" ds:itemID="{4BF09111-0EAA-440A-A4EB-B24BFEF60668}">
  <ds:schemaRefs/>
</ds:datastoreItem>
</file>

<file path=customXml/itemProps16.xml><?xml version="1.0" encoding="utf-8"?>
<ds:datastoreItem xmlns:ds="http://schemas.openxmlformats.org/officeDocument/2006/customXml" ds:itemID="{AB6E3B75-15AA-43C5-A942-D49477D9C74D}">
  <ds:schemaRefs/>
</ds:datastoreItem>
</file>

<file path=customXml/itemProps17.xml><?xml version="1.0" encoding="utf-8"?>
<ds:datastoreItem xmlns:ds="http://schemas.openxmlformats.org/officeDocument/2006/customXml" ds:itemID="{45A48613-93FE-4794-B3DC-DE3780C13B2F}">
  <ds:schemaRefs/>
</ds:datastoreItem>
</file>

<file path=customXml/itemProps18.xml><?xml version="1.0" encoding="utf-8"?>
<ds:datastoreItem xmlns:ds="http://schemas.openxmlformats.org/officeDocument/2006/customXml" ds:itemID="{8C5B6F95-F7CC-48B3-8CE8-4F6200596510}">
  <ds:schemaRefs/>
</ds:datastoreItem>
</file>

<file path=customXml/itemProps19.xml><?xml version="1.0" encoding="utf-8"?>
<ds:datastoreItem xmlns:ds="http://schemas.openxmlformats.org/officeDocument/2006/customXml" ds:itemID="{85972470-C1C8-48A8-B043-B83885AE0579}">
  <ds:schemaRefs/>
</ds:datastoreItem>
</file>

<file path=customXml/itemProps20.xml><?xml version="1.0" encoding="utf-8"?>
<ds:datastoreItem xmlns:ds="http://schemas.openxmlformats.org/officeDocument/2006/customXml" ds:itemID="{76235F54-68A0-458C-9D5C-5BFD671CAB86}">
  <ds:schemaRefs/>
</ds:datastoreItem>
</file>

<file path=customXml/itemProps21.xml><?xml version="1.0" encoding="utf-8"?>
<ds:datastoreItem xmlns:ds="http://schemas.openxmlformats.org/officeDocument/2006/customXml" ds:itemID="{05143789-8947-44D5-9B25-795843C2C1C1}">
  <ds:schemaRefs/>
</ds:datastoreItem>
</file>

<file path=customXml/itemProps22.xml><?xml version="1.0" encoding="utf-8"?>
<ds:datastoreItem xmlns:ds="http://schemas.openxmlformats.org/officeDocument/2006/customXml" ds:itemID="{F5A7899D-AE5B-48D3-B96D-05D850DA4B0B}">
  <ds:schemaRefs/>
</ds:datastoreItem>
</file>

<file path=customXml/itemProps23.xml><?xml version="1.0" encoding="utf-8"?>
<ds:datastoreItem xmlns:ds="http://schemas.openxmlformats.org/officeDocument/2006/customXml" ds:itemID="{BA0E6F86-E977-4736-B99C-46C133154265}">
  <ds:schemaRefs/>
</ds:datastoreItem>
</file>

<file path=customXml/itemProps24.xml><?xml version="1.0" encoding="utf-8"?>
<ds:datastoreItem xmlns:ds="http://schemas.openxmlformats.org/officeDocument/2006/customXml" ds:itemID="{A031BB9A-3A38-4225-B6B9-56AB38610570}">
  <ds:schemaRefs/>
</ds:datastoreItem>
</file>

<file path=customXml/itemProps25.xml><?xml version="1.0" encoding="utf-8"?>
<ds:datastoreItem xmlns:ds="http://schemas.openxmlformats.org/officeDocument/2006/customXml" ds:itemID="{C0722FE2-35D6-4610-B9D0-0807A386F49E}">
  <ds:schemaRefs/>
</ds:datastoreItem>
</file>

<file path=customXml/itemProps26.xml><?xml version="1.0" encoding="utf-8"?>
<ds:datastoreItem xmlns:ds="http://schemas.openxmlformats.org/officeDocument/2006/customXml" ds:itemID="{5E62FBE5-B15E-4323-9714-2BF2C95E06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Yearly province analysis</vt:lpstr>
      <vt:lpstr>Top Selling products by categ</vt:lpstr>
      <vt:lpstr>Monthly Sales by Category</vt:lpstr>
      <vt:lpstr>Discounted sales in Karachi st</vt:lpstr>
      <vt:lpstr>Profit by Product</vt:lpstr>
      <vt:lpstr>Product-Store combinations</vt:lpstr>
      <vt:lpstr>Store Analysis</vt:lpstr>
      <vt:lpstr>Product Analysis</vt:lpstr>
      <vt:lpstr>Category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 Ansari</dc:creator>
  <cp:lastModifiedBy>Dua Ansari</cp:lastModifiedBy>
  <dcterms:created xsi:type="dcterms:W3CDTF">2026-02-19T07:16:50Z</dcterms:created>
  <dcterms:modified xsi:type="dcterms:W3CDTF">2026-02-19T18:21:59Z</dcterms:modified>
</cp:coreProperties>
</file>